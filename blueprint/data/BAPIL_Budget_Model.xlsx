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ummary" sheetId="2" state="visible" r:id="rId4"/>
    <sheet name="Assumptions" sheetId="3" state="visible" r:id="rId5"/>
    <sheet name="Calc_Low" sheetId="4" state="visible" r:id="rId6"/>
    <sheet name="Calc_Base" sheetId="5" state="visible" r:id="rId7"/>
    <sheet name="Calc_Adjusted" sheetId="6" state="visible" r:id="rId8"/>
    <sheet name="Calc_High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22" authorId="0">
      <text>
        <r>
          <rPr>
            <sz val="10"/>
            <rFont val="Arial"/>
            <family val="2"/>
          </rPr>
          <t xml:space="preserve">Value printed in the Blueprint, Version 1.0 (October 2026)</t>
        </r>
      </text>
    </comment>
    <comment ref="C23" authorId="0">
      <text>
        <r>
          <rPr>
            <sz val="10"/>
            <rFont val="Arial"/>
            <family val="2"/>
          </rPr>
          <t xml:space="preserve">Value printed in the Blueprint, Version 1.0 (October 2026)</t>
        </r>
      </text>
    </comment>
    <comment ref="C24" authorId="0">
      <text>
        <r>
          <rPr>
            <sz val="10"/>
            <rFont val="Arial"/>
            <family val="2"/>
          </rPr>
          <t xml:space="preserve">Value printed in the Blueprint, Version 1.0 (October 2026)</t>
        </r>
      </text>
    </comment>
    <comment ref="C25" authorId="0">
      <text>
        <r>
          <rPr>
            <sz val="10"/>
            <rFont val="Arial"/>
            <family val="2"/>
          </rPr>
          <t xml:space="preserve">Value printed in the Blueprint, Version 1.0 (October 2026)</t>
        </r>
      </text>
    </comment>
  </commentList>
</comments>
</file>

<file path=xl/sharedStrings.xml><?xml version="1.0" encoding="utf-8"?>
<sst xmlns="http://schemas.openxmlformats.org/spreadsheetml/2006/main" count="561" uniqueCount="153">
  <si>
    <t xml:space="preserve">BAPIL Technical Blueprint: indicative 36-month budget model</t>
  </si>
  <si>
    <t xml:space="preserve">Version 1.0, October 2026. Planning estimate only: not a quotation, not an approved budget and not secured funding.</t>
  </si>
  <si>
    <t xml:space="preserve">What this workbook is</t>
  </si>
  <si>
    <t xml:space="preserve">A spreadsheet version of blueprint/src/budget_model.py, which produces Tables 49, 50, 61 and 62 of the Blueprint.</t>
  </si>
  <si>
    <t xml:space="preserve">The formulas re-implement the Python model independently; the build checks that both give the same results.</t>
  </si>
  <si>
    <t xml:space="preserve">How to use it</t>
  </si>
  <si>
    <t xml:space="preserve">Change the blue cells on the Assumptions sheet. Every Calc_ sheet and the Summary sheet update automatically.</t>
  </si>
  <si>
    <t xml:space="preserve">Scenario levers are in the Low, Base, Adjusted base and High columns of the Assumptions sheet (yellow cells are the key ones).</t>
  </si>
  <si>
    <t xml:space="preserve">If you change an assumption, change it in budget_model.py too, so that the published tables stay in step.</t>
  </si>
  <si>
    <t xml:space="preserve">Colour legend</t>
  </si>
  <si>
    <t xml:space="preserve">Blue text: input or assumption.  Black text: formula.  Green text: link to another sheet.  Yellow fill: key scenario lever.</t>
  </si>
  <si>
    <t xml:space="preserve">Units</t>
  </si>
  <si>
    <t xml:space="preserve">Amounts are in Bangladeshi taka (Tk) unless a column says Tk crore. 1 crore = 10,000,000; 1 lakh = 100,000.</t>
  </si>
  <si>
    <t xml:space="preserve">Equipment and staff computers are priced in US dollars and converted at the exchange rate; they are not escalated.</t>
  </si>
  <si>
    <t xml:space="preserve">Not modelled here</t>
  </si>
  <si>
    <t xml:space="preserve">The reconciliation with the initial planning estimate (Table 61) and the sensitivity tests are computed only in budget_model.py</t>
  </si>
  <si>
    <t xml:space="preserve">(see data/budget_bridge.csv and data/budget_sensitivity.csv).</t>
  </si>
  <si>
    <t xml:space="preserve">Sources of the assumptions</t>
  </si>
  <si>
    <t xml:space="preserve">Exchange rate: Bangladesh Bank weighted average rate, Tk 123.65 per USD on 19 October 2026 (rounded to 124).</t>
  </si>
  <si>
    <t xml:space="preserve">Escalation: point-to-point CPI inflation of 8.34% in September 2026 (BBS, as reported by the Dhaka Tribune).</t>
  </si>
  <si>
    <t xml:space="preserve">Staff costs: planning assumptions above the Ninth National Pay Scale (2026) equivalents; see Section 17.5 of the Blueprint.</t>
  </si>
  <si>
    <t xml:space="preserve">All other quantities and unit costs are planning assumptions stated in Chapter 17 and Annex Q of the Blueprint.</t>
  </si>
  <si>
    <t xml:space="preserve">Licence: CC BY 4.0. Generated by blueprint/src/make_budget_workbook.py.</t>
  </si>
  <si>
    <t xml:space="preserve">Summary (Tk crore)</t>
  </si>
  <si>
    <t xml:space="preserve">All values are formulas linked to the Calc_ sheets. Planning estimates, not approved funding.</t>
  </si>
  <si>
    <t xml:space="preserve">Base case by category (Table 50)</t>
  </si>
  <si>
    <t xml:space="preserve">Year 1</t>
  </si>
  <si>
    <t xml:space="preserve">Year 2</t>
  </si>
  <si>
    <t xml:space="preserve">Year 3</t>
  </si>
  <si>
    <t xml:space="preserve">Total</t>
  </si>
  <si>
    <t xml:space="preserve">Core staff</t>
  </si>
  <si>
    <t xml:space="preserve">Language editors and fellowships</t>
  </si>
  <si>
    <t xml:space="preserve">Compute and hosting</t>
  </si>
  <si>
    <t xml:space="preserve">Data and annotation</t>
  </si>
  <si>
    <t xml:space="preserve">Training and outreach</t>
  </si>
  <si>
    <t xml:space="preserve">Governance, audit and evaluation</t>
  </si>
  <si>
    <t xml:space="preserve">Host overheads</t>
  </si>
  <si>
    <t xml:space="preserve">Contingency</t>
  </si>
  <si>
    <t xml:space="preserve">Scenarios (Table 62)</t>
  </si>
  <si>
    <t xml:space="preserve">Low</t>
  </si>
  <si>
    <t xml:space="preserve">Base</t>
  </si>
  <si>
    <t xml:space="preserve">Adjusted base</t>
  </si>
  <si>
    <t xml:space="preserve">High</t>
  </si>
  <si>
    <t xml:space="preserve">Check against the published Blueprint (rounded to 0.01 crore)</t>
  </si>
  <si>
    <t xml:space="preserve">Model</t>
  </si>
  <si>
    <t xml:space="preserve">Published</t>
  </si>
  <si>
    <t xml:space="preserve">Difference</t>
  </si>
  <si>
    <t xml:space="preserve">Base case, 36-month total (Table 50)</t>
  </si>
  <si>
    <t xml:space="preserve">Low scenario total (Table 62)</t>
  </si>
  <si>
    <t xml:space="preserve">Adjusted base case total (Table 62)</t>
  </si>
  <si>
    <t xml:space="preserve">High scenario total (Table 62)</t>
  </si>
  <si>
    <t xml:space="preserve">Scenario levers</t>
  </si>
  <si>
    <t xml:space="preserve">Parameter</t>
  </si>
  <si>
    <t xml:space="preserve">Note</t>
  </si>
  <si>
    <t xml:space="preserve">Exchange rate (Tk per USD)</t>
  </si>
  <si>
    <t xml:space="preserve">Base: Bangladesh Bank weighted average rate, 19 October 2026 (Tk 123.65), rounded</t>
  </si>
  <si>
    <t xml:space="preserve">Annual escalation of taka costs (Years 2 and 3)</t>
  </si>
  <si>
    <t xml:space="preserve">Base: September 2026 CPI inflation 8.34% (BBS, as reported), rounded</t>
  </si>
  <si>
    <t xml:space="preserve">Average share of Year 1 posts filled</t>
  </si>
  <si>
    <t xml:space="preserve">Multiplier on staff costs</t>
  </si>
  <si>
    <t xml:space="preserve">Multiplier on equipment prices</t>
  </si>
  <si>
    <t xml:space="preserve">Host overhead on direct costs</t>
  </si>
  <si>
    <t xml:space="preserve">Contingency on direct costs</t>
  </si>
  <si>
    <t xml:space="preserve">Adjusted base and High use 10%, as recommended in Table 49</t>
  </si>
  <si>
    <t xml:space="preserve">Stage 1 adaptation compute, Year 2 (USD)</t>
  </si>
  <si>
    <t xml:space="preserve">High case only: compute for Stage 1 adaptation if national compute is unavailable</t>
  </si>
  <si>
    <t xml:space="preserve">Include known omissions (1 = yes, 0 = no)</t>
  </si>
  <si>
    <t xml:space="preserve">Engagement events, P5 survey data, travel, open-access fees and staff computers (Section 17.2)</t>
  </si>
  <si>
    <t xml:space="preserve">Unit inputs (same in every scenario; Year 1 prices)</t>
  </si>
  <si>
    <t xml:space="preserve">Input</t>
  </si>
  <si>
    <t xml:space="preserve">Unit</t>
  </si>
  <si>
    <t xml:space="preserve">Monthly cost per FTE: Director and principal investigator</t>
  </si>
  <si>
    <t xml:space="preserve">Tk per month</t>
  </si>
  <si>
    <t xml:space="preserve">Fully loaded</t>
  </si>
  <si>
    <t xml:space="preserve">Monthly cost per FTE: Policy research lead and analysts</t>
  </si>
  <si>
    <t xml:space="preserve">Monthly cost per FTE: Machine learning and Bangla NLP engineers</t>
  </si>
  <si>
    <t xml:space="preserve">Monthly cost per FTE: Data engineers</t>
  </si>
  <si>
    <t xml:space="preserve">Monthly cost per FTE: Software and platform (DevSecOps) engineers</t>
  </si>
  <si>
    <t xml:space="preserve">Monthly cost per FTE: Security engineer</t>
  </si>
  <si>
    <t xml:space="preserve">Monthly cost per FTE: Governance, legal and ethics analysts</t>
  </si>
  <si>
    <t xml:space="preserve">Monthly cost per FTE: User experience and accessibility designer</t>
  </si>
  <si>
    <t xml:space="preserve">Monthly cost per FTE: Programme and partnership coordinator</t>
  </si>
  <si>
    <t xml:space="preserve">Monthly cost per FTE: Training and outreach officers</t>
  </si>
  <si>
    <t xml:space="preserve">FTE: Director and principal investigator</t>
  </si>
  <si>
    <t xml:space="preserve">FTE</t>
  </si>
  <si>
    <t xml:space="preserve">Table 16</t>
  </si>
  <si>
    <t xml:space="preserve">FTE: Policy research lead and analysts</t>
  </si>
  <si>
    <t xml:space="preserve">FTE: Machine learning and Bangla NLP engineers</t>
  </si>
  <si>
    <t xml:space="preserve">FTE: Data engineers</t>
  </si>
  <si>
    <t xml:space="preserve">FTE: Software and platform (DevSecOps) engineers</t>
  </si>
  <si>
    <t xml:space="preserve">FTE: Security engineer</t>
  </si>
  <si>
    <t xml:space="preserve">FTE: Governance, legal and ethics analysts</t>
  </si>
  <si>
    <t xml:space="preserve">FTE: User experience and accessibility designer</t>
  </si>
  <si>
    <t xml:space="preserve">FTE: Programme and partnership coordinator</t>
  </si>
  <si>
    <t xml:space="preserve">FTE: Training and outreach officers</t>
  </si>
  <si>
    <t xml:space="preserve">Part-time Bangla language editors</t>
  </si>
  <si>
    <t xml:space="preserve">Tk per year</t>
  </si>
  <si>
    <t xml:space="preserve">Graduate fellows</t>
  </si>
  <si>
    <t xml:space="preserve">persons</t>
  </si>
  <si>
    <t xml:space="preserve">Fellowship stipend</t>
  </si>
  <si>
    <t xml:space="preserve">Equipment (servers, GPU inference servers, storage)</t>
  </si>
  <si>
    <t xml:space="preserve">USD</t>
  </si>
  <si>
    <t xml:space="preserve">Y1: 3 servers, 2 GPU servers, 20 TB storage; Y2: staging and recovery; Y3: replacement and storage</t>
  </si>
  <si>
    <t xml:space="preserve">Hosting, power, bandwidth and licences</t>
  </si>
  <si>
    <t xml:space="preserve">Benchmark questions with gold passages</t>
  </si>
  <si>
    <t xml:space="preserve">questions</t>
  </si>
  <si>
    <t xml:space="preserve">Cost per benchmark question</t>
  </si>
  <si>
    <t xml:space="preserve">Tk</t>
  </si>
  <si>
    <t xml:space="preserve">Out-of-scope questions for abstention tests</t>
  </si>
  <si>
    <t xml:space="preserve">Cost per out-of-scope question</t>
  </si>
  <si>
    <t xml:space="preserve">Citation-support judgements</t>
  </si>
  <si>
    <t xml:space="preserve">judgements</t>
  </si>
  <si>
    <t xml:space="preserve">Cost per judgement</t>
  </si>
  <si>
    <t xml:space="preserve">OCR correction</t>
  </si>
  <si>
    <t xml:space="preserve">Data agreements and custodian liaison</t>
  </si>
  <si>
    <t xml:space="preserve">Officials trained</t>
  </si>
  <si>
    <t xml:space="preserve">Cost per participant</t>
  </si>
  <si>
    <t xml:space="preserve">Specialist courses and bilingual materials</t>
  </si>
  <si>
    <t xml:space="preserve">Annual independent audit of systems</t>
  </si>
  <si>
    <t xml:space="preserve">Baseline study (one-time)</t>
  </si>
  <si>
    <t xml:space="preserve">ERRC and board honoraria</t>
  </si>
  <si>
    <t xml:space="preserve">Independent final evaluation (one-time)</t>
  </si>
  <si>
    <t xml:space="preserve">Independent mid-term evaluation (one-time)</t>
  </si>
  <si>
    <t xml:space="preserve">Legal review (one-time)</t>
  </si>
  <si>
    <t xml:space="preserve">Penetration test and red team</t>
  </si>
  <si>
    <t xml:space="preserve">Allowance for known omissions (events, survey data, travel, open-access fees)</t>
  </si>
  <si>
    <t xml:space="preserve">New staff needing a computer</t>
  </si>
  <si>
    <t xml:space="preserve">Computer per new staff member</t>
  </si>
  <si>
    <t xml:space="preserve">Low scenario: line items (Tk)</t>
  </si>
  <si>
    <t xml:space="preserve">Line item</t>
  </si>
  <si>
    <t xml:space="preserve">Category</t>
  </si>
  <si>
    <t xml:space="preserve">One-time</t>
  </si>
  <si>
    <t xml:space="preserve">Core staff salaries and on-costs</t>
  </si>
  <si>
    <t xml:space="preserve">no</t>
  </si>
  <si>
    <t xml:space="preserve">Graduate fellowships</t>
  </si>
  <si>
    <t xml:space="preserve">Servers, GPUs and storage</t>
  </si>
  <si>
    <t xml:space="preserve">yes</t>
  </si>
  <si>
    <t xml:space="preserve">Stage 1 adaptation compute (if no national compute)</t>
  </si>
  <si>
    <t xml:space="preserve">Staff computers (known omission)</t>
  </si>
  <si>
    <t xml:space="preserve">Benchmark questions and gold passages</t>
  </si>
  <si>
    <t xml:space="preserve">Training of officials</t>
  </si>
  <si>
    <t xml:space="preserve">Engagement events, P5 survey data, travel and open-access fees (known omission)</t>
  </si>
  <si>
    <t xml:space="preserve">Baseline study</t>
  </si>
  <si>
    <t xml:space="preserve">Independent final evaluation</t>
  </si>
  <si>
    <t xml:space="preserve">Independent mid-term evaluation</t>
  </si>
  <si>
    <t xml:space="preserve">Legal review</t>
  </si>
  <si>
    <t xml:space="preserve">Summary by category</t>
  </si>
  <si>
    <t xml:space="preserve">Row</t>
  </si>
  <si>
    <t xml:space="preserve">Share of total</t>
  </si>
  <si>
    <t xml:space="preserve">Direct costs</t>
  </si>
  <si>
    <t xml:space="preserve">Base scenario: line items (Tk)</t>
  </si>
  <si>
    <t xml:space="preserve">Adjusted base scenario: line items (Tk)</t>
  </si>
  <si>
    <t xml:space="preserve">High scenario: line items (Tk)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</si>
</sst>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;\(0.00\);\-"/>
    <numFmt numFmtId="166" formatCode="#,##0.00"/>
    <numFmt numFmtId="167" formatCode="0.0%"/>
    <numFmt numFmtId="168" formatCode="0.00"/>
    <numFmt numFmtId="169" formatCode="#,##0"/>
    <numFmt numFmtId="170" formatCode="0"/>
    <numFmt numFmtId="171" formatCode="#,##0;\(#,##0\);\-"/>
    <numFmt numFmtId="172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8000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/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/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3"/>
    </row>
    <row r="16" customFormat="false" ht="15" hidden="false" customHeight="false" outlineLevel="0" collapsed="false">
      <c r="A16" s="2" t="s">
        <v>11</v>
      </c>
    </row>
    <row r="17" customFormat="false" ht="15" hidden="false" customHeight="false" outlineLevel="0" collapsed="false">
      <c r="A17" s="3" t="s">
        <v>12</v>
      </c>
    </row>
    <row r="18" customFormat="false" ht="15" hidden="false" customHeight="false" outlineLevel="0" collapsed="false">
      <c r="A18" s="3" t="s">
        <v>13</v>
      </c>
    </row>
    <row r="19" customFormat="false" ht="15" hidden="false" customHeight="false" outlineLevel="0" collapsed="false">
      <c r="A19" s="3"/>
    </row>
    <row r="20" customFormat="false" ht="15" hidden="false" customHeight="false" outlineLevel="0" collapsed="false">
      <c r="A20" s="2" t="s">
        <v>14</v>
      </c>
    </row>
    <row r="21" customFormat="false" ht="15" hidden="false" customHeight="false" outlineLevel="0" collapsed="false">
      <c r="A21" s="3" t="s">
        <v>15</v>
      </c>
    </row>
    <row r="22" customFormat="false" ht="15" hidden="false" customHeight="false" outlineLevel="0" collapsed="false">
      <c r="A22" s="3" t="s">
        <v>16</v>
      </c>
    </row>
    <row r="23" customFormat="false" ht="15" hidden="false" customHeight="false" outlineLevel="0" collapsed="false">
      <c r="A23" s="3"/>
    </row>
    <row r="24" customFormat="false" ht="15" hidden="false" customHeight="false" outlineLevel="0" collapsed="false">
      <c r="A24" s="2" t="s">
        <v>17</v>
      </c>
    </row>
    <row r="25" customFormat="false" ht="15" hidden="false" customHeight="false" outlineLevel="0" collapsed="false">
      <c r="A25" s="3" t="s">
        <v>18</v>
      </c>
    </row>
    <row r="26" customFormat="false" ht="15" hidden="false" customHeight="false" outlineLevel="0" collapsed="false">
      <c r="A26" s="3" t="s">
        <v>19</v>
      </c>
    </row>
    <row r="27" customFormat="false" ht="15" hidden="false" customHeight="false" outlineLevel="0" collapsed="false">
      <c r="A27" s="3" t="s">
        <v>20</v>
      </c>
    </row>
    <row r="28" customFormat="false" ht="15" hidden="false" customHeight="false" outlineLevel="0" collapsed="false">
      <c r="A28" s="3" t="s">
        <v>21</v>
      </c>
    </row>
    <row r="29" customFormat="false" ht="15" hidden="false" customHeight="false" outlineLevel="0" collapsed="false">
      <c r="A29" s="3"/>
    </row>
    <row r="30" customFormat="false" ht="15" hidden="false" customHeight="false" outlineLevel="0" collapsed="false">
      <c r="A30" s="3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5" min="2" style="0" width="14"/>
  </cols>
  <sheetData>
    <row r="1" customFormat="false" ht="16.15" hidden="false" customHeight="false" outlineLevel="0" collapsed="false">
      <c r="A1" s="1" t="s">
        <v>23</v>
      </c>
    </row>
    <row r="2" customFormat="false" ht="15" hidden="false" customHeight="false" outlineLevel="0" collapsed="false">
      <c r="A2" s="0" t="s">
        <v>24</v>
      </c>
    </row>
    <row r="4" customFormat="false" ht="15" hidden="false" customHeight="false" outlineLevel="0" collapsed="false">
      <c r="A4" s="4" t="s">
        <v>25</v>
      </c>
      <c r="B4" s="4" t="s">
        <v>26</v>
      </c>
      <c r="C4" s="4" t="s">
        <v>27</v>
      </c>
      <c r="D4" s="4" t="s">
        <v>28</v>
      </c>
      <c r="E4" s="4" t="s">
        <v>29</v>
      </c>
    </row>
    <row r="5" customFormat="false" ht="15" hidden="false" customHeight="false" outlineLevel="0" collapsed="false">
      <c r="A5" s="3" t="s">
        <v>30</v>
      </c>
      <c r="B5" s="5" t="n">
        <f aca="false">Calc_Base!B28/10000000</f>
        <v>1.36575</v>
      </c>
      <c r="C5" s="5" t="n">
        <f aca="false">Calc_Base!C28/10000000</f>
        <v>3.1104</v>
      </c>
      <c r="D5" s="5" t="n">
        <f aca="false">Calc_Base!D28/10000000</f>
        <v>4.1360544</v>
      </c>
      <c r="E5" s="5" t="n">
        <f aca="false">Calc_Base!E28/10000000</f>
        <v>8.6122044</v>
      </c>
    </row>
    <row r="6" customFormat="false" ht="15" hidden="false" customHeight="false" outlineLevel="0" collapsed="false">
      <c r="A6" s="3" t="s">
        <v>31</v>
      </c>
      <c r="B6" s="5" t="n">
        <f aca="false">Calc_Base!B29/10000000</f>
        <v>0.408</v>
      </c>
      <c r="C6" s="5" t="n">
        <f aca="false">Calc_Base!C29/10000000</f>
        <v>0.6696</v>
      </c>
      <c r="D6" s="5" t="n">
        <f aca="false">Calc_Base!D29/10000000</f>
        <v>0.8351424</v>
      </c>
      <c r="E6" s="5" t="n">
        <f aca="false">Calc_Base!E29/10000000</f>
        <v>1.9127424</v>
      </c>
    </row>
    <row r="7" customFormat="false" ht="15" hidden="false" customHeight="false" outlineLevel="0" collapsed="false">
      <c r="A7" s="3" t="s">
        <v>32</v>
      </c>
      <c r="B7" s="5" t="n">
        <f aca="false">Calc_Base!B30/10000000</f>
        <v>1.3908</v>
      </c>
      <c r="C7" s="5" t="n">
        <f aca="false">Calc_Base!C30/10000000</f>
        <v>1.3624</v>
      </c>
      <c r="D7" s="5" t="n">
        <f aca="false">Calc_Base!D30/10000000</f>
        <v>0.740832</v>
      </c>
      <c r="E7" s="5" t="n">
        <f aca="false">Calc_Base!E30/10000000</f>
        <v>3.494032</v>
      </c>
    </row>
    <row r="8" customFormat="false" ht="15" hidden="false" customHeight="false" outlineLevel="0" collapsed="false">
      <c r="A8" s="3" t="s">
        <v>33</v>
      </c>
      <c r="B8" s="5" t="n">
        <f aca="false">Calc_Base!B31/10000000</f>
        <v>0.407</v>
      </c>
      <c r="C8" s="5" t="n">
        <f aca="false">Calc_Base!C31/10000000</f>
        <v>0.52488</v>
      </c>
      <c r="D8" s="5" t="n">
        <f aca="false">Calc_Base!D31/10000000</f>
        <v>0.460728</v>
      </c>
      <c r="E8" s="5" t="n">
        <f aca="false">Calc_Base!E31/10000000</f>
        <v>1.392608</v>
      </c>
    </row>
    <row r="9" customFormat="false" ht="15" hidden="false" customHeight="false" outlineLevel="0" collapsed="false">
      <c r="A9" s="3" t="s">
        <v>34</v>
      </c>
      <c r="B9" s="5" t="n">
        <f aca="false">Calc_Base!B32/10000000</f>
        <v>0.23</v>
      </c>
      <c r="C9" s="5" t="n">
        <f aca="false">Calc_Base!C32/10000000</f>
        <v>0.4428</v>
      </c>
      <c r="D9" s="5" t="n">
        <f aca="false">Calc_Base!D32/10000000</f>
        <v>0.478224</v>
      </c>
      <c r="E9" s="5" t="n">
        <f aca="false">Calc_Base!E32/10000000</f>
        <v>1.151024</v>
      </c>
    </row>
    <row r="10" customFormat="false" ht="15" hidden="false" customHeight="false" outlineLevel="0" collapsed="false">
      <c r="A10" s="3" t="s">
        <v>35</v>
      </c>
      <c r="B10" s="5" t="n">
        <f aca="false">Calc_Base!B33/10000000</f>
        <v>0.31</v>
      </c>
      <c r="C10" s="5" t="n">
        <f aca="false">Calc_Base!C33/10000000</f>
        <v>0.3996</v>
      </c>
      <c r="D10" s="5" t="n">
        <f aca="false">Calc_Base!D33/10000000</f>
        <v>0.489888</v>
      </c>
      <c r="E10" s="5" t="n">
        <f aca="false">Calc_Base!E33/10000000</f>
        <v>1.199488</v>
      </c>
    </row>
    <row r="11" customFormat="false" ht="15" hidden="false" customHeight="false" outlineLevel="0" collapsed="false">
      <c r="A11" s="3" t="s">
        <v>36</v>
      </c>
      <c r="B11" s="5" t="n">
        <f aca="false">Calc_Base!B35/10000000</f>
        <v>0.411155</v>
      </c>
      <c r="C11" s="5" t="n">
        <f aca="false">Calc_Base!C35/10000000</f>
        <v>0.650968</v>
      </c>
      <c r="D11" s="5" t="n">
        <f aca="false">Calc_Base!D35/10000000</f>
        <v>0.71408688</v>
      </c>
      <c r="E11" s="5" t="n">
        <f aca="false">Calc_Base!E35/10000000</f>
        <v>1.77620988</v>
      </c>
    </row>
    <row r="12" customFormat="false" ht="15" hidden="false" customHeight="false" outlineLevel="0" collapsed="false">
      <c r="A12" s="3" t="s">
        <v>37</v>
      </c>
      <c r="B12" s="5" t="n">
        <f aca="false">Calc_Base!B36/10000000</f>
        <v>0.2055775</v>
      </c>
      <c r="C12" s="5" t="n">
        <f aca="false">Calc_Base!C36/10000000</f>
        <v>0.325484</v>
      </c>
      <c r="D12" s="5" t="n">
        <f aca="false">Calc_Base!D36/10000000</f>
        <v>0.35704344</v>
      </c>
      <c r="E12" s="5" t="n">
        <f aca="false">Calc_Base!E36/10000000</f>
        <v>0.88810494</v>
      </c>
    </row>
    <row r="13" customFormat="false" ht="15" hidden="false" customHeight="false" outlineLevel="0" collapsed="false">
      <c r="A13" s="2" t="s">
        <v>29</v>
      </c>
      <c r="B13" s="5" t="n">
        <f aca="false">Calc_Base!B37/10000000</f>
        <v>4.7282825</v>
      </c>
      <c r="C13" s="5" t="n">
        <f aca="false">Calc_Base!C37/10000000</f>
        <v>7.486132</v>
      </c>
      <c r="D13" s="5" t="n">
        <f aca="false">Calc_Base!D37/10000000</f>
        <v>8.21199912</v>
      </c>
      <c r="E13" s="5" t="n">
        <f aca="false">Calc_Base!E37/10000000</f>
        <v>20.42641362</v>
      </c>
    </row>
    <row r="15" customFormat="false" ht="15" hidden="false" customHeight="false" outlineLevel="0" collapsed="false">
      <c r="A15" s="4" t="s">
        <v>38</v>
      </c>
      <c r="B15" s="4" t="s">
        <v>26</v>
      </c>
      <c r="C15" s="4" t="s">
        <v>27</v>
      </c>
      <c r="D15" s="4" t="s">
        <v>28</v>
      </c>
      <c r="E15" s="4" t="s">
        <v>29</v>
      </c>
    </row>
    <row r="16" customFormat="false" ht="15" hidden="false" customHeight="false" outlineLevel="0" collapsed="false">
      <c r="A16" s="3" t="s">
        <v>39</v>
      </c>
      <c r="B16" s="5" t="n">
        <f aca="false">Calc_Low!B37/10000000</f>
        <v>4.196450625</v>
      </c>
      <c r="C16" s="5" t="n">
        <f aca="false">Calc_Low!C37/10000000</f>
        <v>6.578506</v>
      </c>
      <c r="D16" s="5" t="n">
        <f aca="false">Calc_Low!D37/10000000</f>
        <v>7.158656114</v>
      </c>
      <c r="E16" s="5" t="n">
        <f aca="false">Calc_Low!E37/10000000</f>
        <v>17.933612739</v>
      </c>
    </row>
    <row r="17" customFormat="false" ht="15" hidden="false" customHeight="false" outlineLevel="0" collapsed="false">
      <c r="A17" s="3" t="s">
        <v>40</v>
      </c>
      <c r="B17" s="5" t="n">
        <f aca="false">Calc_Base!B37/10000000</f>
        <v>4.7282825</v>
      </c>
      <c r="C17" s="5" t="n">
        <f aca="false">Calc_Base!C37/10000000</f>
        <v>7.486132</v>
      </c>
      <c r="D17" s="5" t="n">
        <f aca="false">Calc_Base!D37/10000000</f>
        <v>8.21199912</v>
      </c>
      <c r="E17" s="5" t="n">
        <f aca="false">Calc_Base!E37/10000000</f>
        <v>20.42641362</v>
      </c>
    </row>
    <row r="18" customFormat="false" ht="15" hidden="false" customHeight="false" outlineLevel="0" collapsed="false">
      <c r="A18" s="3" t="s">
        <v>41</v>
      </c>
      <c r="B18" s="5" t="n">
        <f aca="false">Calc_Adjusted!B37/10000000</f>
        <v>5.29242</v>
      </c>
      <c r="C18" s="5" t="n">
        <f aca="false">Calc_Adjusted!C37/10000000</f>
        <v>8.095296</v>
      </c>
      <c r="D18" s="5" t="n">
        <f aca="false">Calc_Adjusted!D37/10000000</f>
        <v>8.85041856</v>
      </c>
      <c r="E18" s="5" t="n">
        <f aca="false">Calc_Adjusted!E37/10000000</f>
        <v>22.23813456</v>
      </c>
    </row>
    <row r="19" customFormat="false" ht="15" hidden="false" customHeight="false" outlineLevel="0" collapsed="false">
      <c r="A19" s="3" t="s">
        <v>42</v>
      </c>
      <c r="B19" s="5" t="n">
        <f aca="false">Calc_High!B37/10000000</f>
        <v>5.75568</v>
      </c>
      <c r="C19" s="5" t="n">
        <f aca="false">Calc_High!C37/10000000</f>
        <v>9.45834</v>
      </c>
      <c r="D19" s="5" t="n">
        <f aca="false">Calc_High!D37/10000000</f>
        <v>10.0346424</v>
      </c>
      <c r="E19" s="5" t="n">
        <f aca="false">Calc_High!E37/10000000</f>
        <v>25.2486624</v>
      </c>
    </row>
    <row r="21" customFormat="false" ht="26.85" hidden="false" customHeight="false" outlineLevel="0" collapsed="false">
      <c r="A21" s="4" t="s">
        <v>43</v>
      </c>
      <c r="B21" s="4" t="s">
        <v>44</v>
      </c>
      <c r="C21" s="4" t="s">
        <v>45</v>
      </c>
      <c r="D21" s="4" t="s">
        <v>46</v>
      </c>
      <c r="E21" s="4"/>
    </row>
    <row r="22" customFormat="false" ht="15" hidden="false" customHeight="false" outlineLevel="0" collapsed="false">
      <c r="A22" s="3" t="s">
        <v>47</v>
      </c>
      <c r="B22" s="5" t="n">
        <f aca="false">ROUND(Calc_Base!E37/10000000,2)</f>
        <v>20.43</v>
      </c>
      <c r="C22" s="6" t="n">
        <v>20.43</v>
      </c>
      <c r="D22" s="7" t="n">
        <f aca="false">B22-C22</f>
        <v>0</v>
      </c>
    </row>
    <row r="23" customFormat="false" ht="15" hidden="false" customHeight="false" outlineLevel="0" collapsed="false">
      <c r="A23" s="3" t="s">
        <v>48</v>
      </c>
      <c r="B23" s="5" t="n">
        <f aca="false">ROUND(Calc_Low!E37/10000000,2)</f>
        <v>17.93</v>
      </c>
      <c r="C23" s="6" t="n">
        <v>17.93</v>
      </c>
      <c r="D23" s="7" t="n">
        <f aca="false">B23-C23</f>
        <v>0</v>
      </c>
    </row>
    <row r="24" customFormat="false" ht="15" hidden="false" customHeight="false" outlineLevel="0" collapsed="false">
      <c r="A24" s="3" t="s">
        <v>49</v>
      </c>
      <c r="B24" s="5" t="n">
        <f aca="false">ROUND(Calc_Adjusted!E37/10000000,2)</f>
        <v>22.24</v>
      </c>
      <c r="C24" s="6" t="n">
        <v>22.24</v>
      </c>
      <c r="D24" s="7" t="n">
        <f aca="false">B24-C24</f>
        <v>0</v>
      </c>
    </row>
    <row r="25" customFormat="false" ht="15" hidden="false" customHeight="false" outlineLevel="0" collapsed="false">
      <c r="A25" s="3" t="s">
        <v>50</v>
      </c>
      <c r="B25" s="5" t="n">
        <f aca="false">ROUND(Calc_High!E37/10000000,2)</f>
        <v>25.25</v>
      </c>
      <c r="C25" s="6" t="n">
        <v>25.25</v>
      </c>
      <c r="D25" s="7" t="n">
        <f aca="false">B25-C25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5" min="2" style="0" width="14"/>
    <col collapsed="false" customWidth="true" hidden="false" outlineLevel="0" max="6" min="6" style="0" width="70"/>
  </cols>
  <sheetData>
    <row r="1" customFormat="false" ht="16.15" hidden="false" customHeight="false" outlineLevel="0" collapsed="false">
      <c r="A1" s="1" t="s">
        <v>51</v>
      </c>
    </row>
    <row r="2" customFormat="false" ht="26.85" hidden="false" customHeight="false" outlineLevel="0" collapsed="false">
      <c r="A2" s="4" t="s">
        <v>52</v>
      </c>
      <c r="B2" s="4" t="s">
        <v>39</v>
      </c>
      <c r="C2" s="4" t="s">
        <v>40</v>
      </c>
      <c r="D2" s="4" t="s">
        <v>41</v>
      </c>
      <c r="E2" s="4" t="s">
        <v>42</v>
      </c>
      <c r="F2" s="4" t="s">
        <v>53</v>
      </c>
    </row>
    <row r="3" customFormat="false" ht="15" hidden="false" customHeight="false" outlineLevel="0" collapsed="false">
      <c r="A3" s="3" t="s">
        <v>54</v>
      </c>
      <c r="B3" s="8" t="n">
        <v>120</v>
      </c>
      <c r="C3" s="8" t="n">
        <v>124</v>
      </c>
      <c r="D3" s="8" t="n">
        <v>124</v>
      </c>
      <c r="E3" s="8" t="n">
        <v>135</v>
      </c>
      <c r="F3" s="3" t="s">
        <v>55</v>
      </c>
    </row>
    <row r="4" customFormat="false" ht="15" hidden="false" customHeight="false" outlineLevel="0" collapsed="false">
      <c r="A4" s="3" t="s">
        <v>56</v>
      </c>
      <c r="B4" s="9" t="n">
        <v>0.06</v>
      </c>
      <c r="C4" s="9" t="n">
        <v>0.08</v>
      </c>
      <c r="D4" s="9" t="n">
        <v>0.08</v>
      </c>
      <c r="E4" s="9" t="n">
        <v>0.1</v>
      </c>
      <c r="F4" s="3" t="s">
        <v>57</v>
      </c>
    </row>
    <row r="5" customFormat="false" ht="15" hidden="false" customHeight="false" outlineLevel="0" collapsed="false">
      <c r="A5" s="3" t="s">
        <v>58</v>
      </c>
      <c r="B5" s="10" t="n">
        <v>0.75</v>
      </c>
      <c r="C5" s="10" t="n">
        <v>0.75</v>
      </c>
      <c r="D5" s="10" t="n">
        <v>0.75</v>
      </c>
      <c r="E5" s="10" t="n">
        <v>0.75</v>
      </c>
      <c r="F5" s="3"/>
    </row>
    <row r="6" customFormat="false" ht="15" hidden="false" customHeight="false" outlineLevel="0" collapsed="false">
      <c r="A6" s="3" t="s">
        <v>59</v>
      </c>
      <c r="B6" s="11" t="n">
        <v>0.85</v>
      </c>
      <c r="C6" s="11" t="n">
        <v>1</v>
      </c>
      <c r="D6" s="11" t="n">
        <v>1</v>
      </c>
      <c r="E6" s="11" t="n">
        <v>1.2</v>
      </c>
      <c r="F6" s="3"/>
    </row>
    <row r="7" customFormat="false" ht="15" hidden="false" customHeight="false" outlineLevel="0" collapsed="false">
      <c r="A7" s="3" t="s">
        <v>60</v>
      </c>
      <c r="B7" s="11" t="n">
        <v>0.8</v>
      </c>
      <c r="C7" s="11" t="n">
        <v>1</v>
      </c>
      <c r="D7" s="11" t="n">
        <v>1</v>
      </c>
      <c r="E7" s="11" t="n">
        <v>1.25</v>
      </c>
      <c r="F7" s="3"/>
    </row>
    <row r="8" customFormat="false" ht="15" hidden="false" customHeight="false" outlineLevel="0" collapsed="false">
      <c r="A8" s="3" t="s">
        <v>61</v>
      </c>
      <c r="B8" s="10" t="n">
        <v>0.1</v>
      </c>
      <c r="C8" s="10" t="n">
        <v>0.1</v>
      </c>
      <c r="D8" s="10" t="n">
        <v>0.1</v>
      </c>
      <c r="E8" s="10" t="n">
        <v>0.1</v>
      </c>
      <c r="F8" s="3"/>
    </row>
    <row r="9" customFormat="false" ht="15" hidden="false" customHeight="false" outlineLevel="0" collapsed="false">
      <c r="A9" s="3" t="s">
        <v>62</v>
      </c>
      <c r="B9" s="9" t="n">
        <v>0.05</v>
      </c>
      <c r="C9" s="9" t="n">
        <v>0.05</v>
      </c>
      <c r="D9" s="9" t="n">
        <v>0.1</v>
      </c>
      <c r="E9" s="9" t="n">
        <v>0.1</v>
      </c>
      <c r="F9" s="3" t="s">
        <v>63</v>
      </c>
    </row>
    <row r="10" customFormat="false" ht="15" hidden="false" customHeight="false" outlineLevel="0" collapsed="false">
      <c r="A10" s="3" t="s">
        <v>64</v>
      </c>
      <c r="B10" s="12" t="n">
        <v>0</v>
      </c>
      <c r="C10" s="12" t="n">
        <v>0</v>
      </c>
      <c r="D10" s="12" t="n">
        <v>0</v>
      </c>
      <c r="E10" s="12" t="n">
        <v>20000</v>
      </c>
      <c r="F10" s="3" t="s">
        <v>65</v>
      </c>
    </row>
    <row r="11" customFormat="false" ht="15" hidden="false" customHeight="false" outlineLevel="0" collapsed="false">
      <c r="A11" s="3" t="s">
        <v>66</v>
      </c>
      <c r="B11" s="13" t="n">
        <v>0</v>
      </c>
      <c r="C11" s="13" t="n">
        <v>0</v>
      </c>
      <c r="D11" s="13" t="n">
        <v>1</v>
      </c>
      <c r="E11" s="13" t="n">
        <v>0</v>
      </c>
      <c r="F11" s="3" t="s">
        <v>67</v>
      </c>
    </row>
    <row r="14" customFormat="false" ht="16.15" hidden="false" customHeight="false" outlineLevel="0" collapsed="false">
      <c r="A14" s="1" t="s">
        <v>68</v>
      </c>
    </row>
    <row r="15" customFormat="false" ht="15" hidden="false" customHeight="false" outlineLevel="0" collapsed="false">
      <c r="A15" s="4" t="s">
        <v>69</v>
      </c>
      <c r="B15" s="4" t="s">
        <v>26</v>
      </c>
      <c r="C15" s="4" t="s">
        <v>27</v>
      </c>
      <c r="D15" s="4" t="s">
        <v>28</v>
      </c>
      <c r="E15" s="4" t="s">
        <v>70</v>
      </c>
      <c r="F15" s="4" t="s">
        <v>53</v>
      </c>
    </row>
    <row r="16" customFormat="false" ht="15" hidden="false" customHeight="false" outlineLevel="0" collapsed="false">
      <c r="A16" s="3" t="s">
        <v>71</v>
      </c>
      <c r="B16" s="14" t="n">
        <v>300000</v>
      </c>
      <c r="E16" s="3" t="s">
        <v>72</v>
      </c>
      <c r="F16" s="3" t="s">
        <v>73</v>
      </c>
    </row>
    <row r="17" customFormat="false" ht="15" hidden="false" customHeight="false" outlineLevel="0" collapsed="false">
      <c r="A17" s="3" t="s">
        <v>74</v>
      </c>
      <c r="B17" s="14" t="n">
        <v>150000</v>
      </c>
      <c r="E17" s="3" t="s">
        <v>72</v>
      </c>
      <c r="F17" s="3" t="s">
        <v>73</v>
      </c>
    </row>
    <row r="18" customFormat="false" ht="15" hidden="false" customHeight="false" outlineLevel="0" collapsed="false">
      <c r="A18" s="3" t="s">
        <v>75</v>
      </c>
      <c r="B18" s="14" t="n">
        <v>200000</v>
      </c>
      <c r="E18" s="3" t="s">
        <v>72</v>
      </c>
      <c r="F18" s="3" t="s">
        <v>73</v>
      </c>
    </row>
    <row r="19" customFormat="false" ht="15" hidden="false" customHeight="false" outlineLevel="0" collapsed="false">
      <c r="A19" s="3" t="s">
        <v>76</v>
      </c>
      <c r="B19" s="14" t="n">
        <v>150000</v>
      </c>
      <c r="E19" s="3" t="s">
        <v>72</v>
      </c>
      <c r="F19" s="3" t="s">
        <v>73</v>
      </c>
    </row>
    <row r="20" customFormat="false" ht="15" hidden="false" customHeight="false" outlineLevel="0" collapsed="false">
      <c r="A20" s="3" t="s">
        <v>77</v>
      </c>
      <c r="B20" s="14" t="n">
        <v>150000</v>
      </c>
      <c r="E20" s="3" t="s">
        <v>72</v>
      </c>
      <c r="F20" s="3" t="s">
        <v>73</v>
      </c>
    </row>
    <row r="21" customFormat="false" ht="15" hidden="false" customHeight="false" outlineLevel="0" collapsed="false">
      <c r="A21" s="3" t="s">
        <v>78</v>
      </c>
      <c r="B21" s="14" t="n">
        <v>180000</v>
      </c>
      <c r="E21" s="3" t="s">
        <v>72</v>
      </c>
      <c r="F21" s="3" t="s">
        <v>73</v>
      </c>
    </row>
    <row r="22" customFormat="false" ht="15" hidden="false" customHeight="false" outlineLevel="0" collapsed="false">
      <c r="A22" s="3" t="s">
        <v>79</v>
      </c>
      <c r="B22" s="14" t="n">
        <v>125000</v>
      </c>
      <c r="E22" s="3" t="s">
        <v>72</v>
      </c>
      <c r="F22" s="3" t="s">
        <v>73</v>
      </c>
    </row>
    <row r="23" customFormat="false" ht="15" hidden="false" customHeight="false" outlineLevel="0" collapsed="false">
      <c r="A23" s="3" t="s">
        <v>80</v>
      </c>
      <c r="B23" s="14" t="n">
        <v>125000</v>
      </c>
      <c r="E23" s="3" t="s">
        <v>72</v>
      </c>
      <c r="F23" s="3" t="s">
        <v>73</v>
      </c>
    </row>
    <row r="24" customFormat="false" ht="15" hidden="false" customHeight="false" outlineLevel="0" collapsed="false">
      <c r="A24" s="3" t="s">
        <v>81</v>
      </c>
      <c r="B24" s="14" t="n">
        <v>90000</v>
      </c>
      <c r="E24" s="3" t="s">
        <v>72</v>
      </c>
      <c r="F24" s="3" t="s">
        <v>73</v>
      </c>
    </row>
    <row r="25" customFormat="false" ht="15" hidden="false" customHeight="false" outlineLevel="0" collapsed="false">
      <c r="A25" s="3" t="s">
        <v>82</v>
      </c>
      <c r="B25" s="14" t="n">
        <v>80000</v>
      </c>
      <c r="E25" s="3" t="s">
        <v>72</v>
      </c>
      <c r="F25" s="3" t="s">
        <v>73</v>
      </c>
    </row>
    <row r="26" customFormat="false" ht="15" hidden="false" customHeight="false" outlineLevel="0" collapsed="false">
      <c r="A26" s="3" t="s">
        <v>83</v>
      </c>
      <c r="B26" s="15" t="n">
        <v>1</v>
      </c>
      <c r="C26" s="15" t="n">
        <v>1</v>
      </c>
      <c r="D26" s="15" t="n">
        <v>1</v>
      </c>
      <c r="E26" s="3" t="s">
        <v>84</v>
      </c>
      <c r="F26" s="3" t="s">
        <v>85</v>
      </c>
    </row>
    <row r="27" customFormat="false" ht="15" hidden="false" customHeight="false" outlineLevel="0" collapsed="false">
      <c r="A27" s="3" t="s">
        <v>86</v>
      </c>
      <c r="B27" s="15" t="n">
        <v>1</v>
      </c>
      <c r="C27" s="15" t="n">
        <v>2</v>
      </c>
      <c r="D27" s="15" t="n">
        <v>3</v>
      </c>
      <c r="E27" s="3" t="s">
        <v>84</v>
      </c>
      <c r="F27" s="3" t="s">
        <v>85</v>
      </c>
    </row>
    <row r="28" customFormat="false" ht="15" hidden="false" customHeight="false" outlineLevel="0" collapsed="false">
      <c r="A28" s="3" t="s">
        <v>87</v>
      </c>
      <c r="B28" s="15" t="n">
        <v>2</v>
      </c>
      <c r="C28" s="15" t="n">
        <v>3</v>
      </c>
      <c r="D28" s="15" t="n">
        <v>4</v>
      </c>
      <c r="E28" s="3" t="s">
        <v>84</v>
      </c>
      <c r="F28" s="3" t="s">
        <v>85</v>
      </c>
    </row>
    <row r="29" customFormat="false" ht="15" hidden="false" customHeight="false" outlineLevel="0" collapsed="false">
      <c r="A29" s="3" t="s">
        <v>88</v>
      </c>
      <c r="B29" s="15" t="n">
        <v>1</v>
      </c>
      <c r="C29" s="15" t="n">
        <v>2</v>
      </c>
      <c r="D29" s="15" t="n">
        <v>2</v>
      </c>
      <c r="E29" s="3" t="s">
        <v>84</v>
      </c>
      <c r="F29" s="3" t="s">
        <v>85</v>
      </c>
    </row>
    <row r="30" customFormat="false" ht="15" hidden="false" customHeight="false" outlineLevel="0" collapsed="false">
      <c r="A30" s="3" t="s">
        <v>89</v>
      </c>
      <c r="B30" s="15" t="n">
        <v>1</v>
      </c>
      <c r="C30" s="15" t="n">
        <v>2</v>
      </c>
      <c r="D30" s="15" t="n">
        <v>2</v>
      </c>
      <c r="E30" s="3" t="s">
        <v>84</v>
      </c>
      <c r="F30" s="3" t="s">
        <v>85</v>
      </c>
    </row>
    <row r="31" customFormat="false" ht="15" hidden="false" customHeight="false" outlineLevel="0" collapsed="false">
      <c r="A31" s="3" t="s">
        <v>90</v>
      </c>
      <c r="B31" s="15" t="n">
        <v>0.5</v>
      </c>
      <c r="C31" s="15" t="n">
        <v>1</v>
      </c>
      <c r="D31" s="15" t="n">
        <v>1</v>
      </c>
      <c r="E31" s="3" t="s">
        <v>84</v>
      </c>
      <c r="F31" s="3" t="s">
        <v>85</v>
      </c>
    </row>
    <row r="32" customFormat="false" ht="15" hidden="false" customHeight="false" outlineLevel="0" collapsed="false">
      <c r="A32" s="3" t="s">
        <v>91</v>
      </c>
      <c r="B32" s="15" t="n">
        <v>1</v>
      </c>
      <c r="C32" s="15" t="n">
        <v>1</v>
      </c>
      <c r="D32" s="15" t="n">
        <v>2</v>
      </c>
      <c r="E32" s="3" t="s">
        <v>84</v>
      </c>
      <c r="F32" s="3" t="s">
        <v>85</v>
      </c>
    </row>
    <row r="33" customFormat="false" ht="15" hidden="false" customHeight="false" outlineLevel="0" collapsed="false">
      <c r="A33" s="3" t="s">
        <v>92</v>
      </c>
      <c r="B33" s="15" t="n">
        <v>0.5</v>
      </c>
      <c r="C33" s="15" t="n">
        <v>1</v>
      </c>
      <c r="D33" s="15" t="n">
        <v>1</v>
      </c>
      <c r="E33" s="3" t="s">
        <v>84</v>
      </c>
      <c r="F33" s="3" t="s">
        <v>85</v>
      </c>
    </row>
    <row r="34" customFormat="false" ht="15" hidden="false" customHeight="false" outlineLevel="0" collapsed="false">
      <c r="A34" s="3" t="s">
        <v>93</v>
      </c>
      <c r="B34" s="15" t="n">
        <v>1</v>
      </c>
      <c r="C34" s="15" t="n">
        <v>1</v>
      </c>
      <c r="D34" s="15" t="n">
        <v>1</v>
      </c>
      <c r="E34" s="3" t="s">
        <v>84</v>
      </c>
      <c r="F34" s="3" t="s">
        <v>85</v>
      </c>
    </row>
    <row r="35" customFormat="false" ht="15" hidden="false" customHeight="false" outlineLevel="0" collapsed="false">
      <c r="A35" s="3" t="s">
        <v>94</v>
      </c>
      <c r="B35" s="15" t="n">
        <v>0</v>
      </c>
      <c r="C35" s="15" t="n">
        <v>1</v>
      </c>
      <c r="D35" s="15" t="n">
        <v>2</v>
      </c>
      <c r="E35" s="3" t="s">
        <v>84</v>
      </c>
      <c r="F35" s="3" t="s">
        <v>85</v>
      </c>
    </row>
    <row r="36" customFormat="false" ht="15" hidden="false" customHeight="false" outlineLevel="0" collapsed="false">
      <c r="A36" s="3" t="s">
        <v>95</v>
      </c>
      <c r="B36" s="14" t="n">
        <v>1200000</v>
      </c>
      <c r="C36" s="14" t="n">
        <v>1400000</v>
      </c>
      <c r="D36" s="14" t="n">
        <v>1400000</v>
      </c>
      <c r="E36" s="3" t="s">
        <v>96</v>
      </c>
      <c r="F36" s="3"/>
    </row>
    <row r="37" customFormat="false" ht="15" hidden="false" customHeight="false" outlineLevel="0" collapsed="false">
      <c r="A37" s="3" t="s">
        <v>97</v>
      </c>
      <c r="B37" s="13" t="n">
        <v>6</v>
      </c>
      <c r="C37" s="13" t="n">
        <v>10</v>
      </c>
      <c r="D37" s="13" t="n">
        <v>12</v>
      </c>
      <c r="E37" s="3" t="s">
        <v>98</v>
      </c>
      <c r="F37" s="3"/>
    </row>
    <row r="38" customFormat="false" ht="15" hidden="false" customHeight="false" outlineLevel="0" collapsed="false">
      <c r="A38" s="3" t="s">
        <v>99</v>
      </c>
      <c r="B38" s="14" t="n">
        <v>40000</v>
      </c>
      <c r="E38" s="3" t="s">
        <v>72</v>
      </c>
      <c r="F38" s="3"/>
    </row>
    <row r="39" customFormat="false" ht="15" hidden="false" customHeight="false" outlineLevel="0" collapsed="false">
      <c r="A39" s="3" t="s">
        <v>100</v>
      </c>
      <c r="B39" s="12" t="n">
        <v>92000</v>
      </c>
      <c r="C39" s="12" t="n">
        <v>82000</v>
      </c>
      <c r="D39" s="12" t="n">
        <v>24000</v>
      </c>
      <c r="E39" s="3" t="s">
        <v>101</v>
      </c>
      <c r="F39" s="3" t="s">
        <v>102</v>
      </c>
    </row>
    <row r="40" customFormat="false" ht="15" hidden="false" customHeight="false" outlineLevel="0" collapsed="false">
      <c r="A40" s="3" t="s">
        <v>103</v>
      </c>
      <c r="B40" s="14" t="n">
        <v>2500000</v>
      </c>
      <c r="C40" s="14" t="n">
        <v>3200000</v>
      </c>
      <c r="D40" s="14" t="n">
        <v>3800000</v>
      </c>
      <c r="E40" s="3" t="s">
        <v>96</v>
      </c>
      <c r="F40" s="3"/>
    </row>
    <row r="41" customFormat="false" ht="15" hidden="false" customHeight="false" outlineLevel="0" collapsed="false">
      <c r="A41" s="3" t="s">
        <v>104</v>
      </c>
      <c r="B41" s="12" t="n">
        <v>500</v>
      </c>
      <c r="C41" s="12" t="n">
        <v>800</v>
      </c>
      <c r="D41" s="12" t="n">
        <v>700</v>
      </c>
      <c r="E41" s="3" t="s">
        <v>105</v>
      </c>
      <c r="F41" s="3"/>
    </row>
    <row r="42" customFormat="false" ht="15" hidden="false" customHeight="false" outlineLevel="0" collapsed="false">
      <c r="A42" s="3" t="s">
        <v>106</v>
      </c>
      <c r="B42" s="14" t="n">
        <v>2500</v>
      </c>
      <c r="E42" s="3" t="s">
        <v>107</v>
      </c>
      <c r="F42" s="3"/>
    </row>
    <row r="43" customFormat="false" ht="15" hidden="false" customHeight="false" outlineLevel="0" collapsed="false">
      <c r="A43" s="3" t="s">
        <v>108</v>
      </c>
      <c r="B43" s="12" t="n">
        <v>200</v>
      </c>
      <c r="C43" s="12" t="n">
        <v>100</v>
      </c>
      <c r="D43" s="12" t="n">
        <v>0</v>
      </c>
      <c r="E43" s="3" t="s">
        <v>105</v>
      </c>
      <c r="F43" s="3"/>
    </row>
    <row r="44" customFormat="false" ht="15" hidden="false" customHeight="false" outlineLevel="0" collapsed="false">
      <c r="A44" s="3" t="s">
        <v>109</v>
      </c>
      <c r="B44" s="14" t="n">
        <v>600</v>
      </c>
      <c r="E44" s="3" t="s">
        <v>107</v>
      </c>
      <c r="F44" s="3"/>
    </row>
    <row r="45" customFormat="false" ht="15" hidden="false" customHeight="false" outlineLevel="0" collapsed="false">
      <c r="A45" s="3" t="s">
        <v>110</v>
      </c>
      <c r="B45" s="12" t="n">
        <v>400</v>
      </c>
      <c r="C45" s="12" t="n">
        <v>800</v>
      </c>
      <c r="D45" s="12" t="n">
        <v>800</v>
      </c>
      <c r="E45" s="3" t="s">
        <v>111</v>
      </c>
      <c r="F45" s="3"/>
    </row>
    <row r="46" customFormat="false" ht="15" hidden="false" customHeight="false" outlineLevel="0" collapsed="false">
      <c r="A46" s="3" t="s">
        <v>112</v>
      </c>
      <c r="B46" s="14" t="n">
        <v>500</v>
      </c>
      <c r="E46" s="3" t="s">
        <v>107</v>
      </c>
      <c r="F46" s="3"/>
    </row>
    <row r="47" customFormat="false" ht="15" hidden="false" customHeight="false" outlineLevel="0" collapsed="false">
      <c r="A47" s="3" t="s">
        <v>113</v>
      </c>
      <c r="B47" s="14" t="n">
        <v>2000000</v>
      </c>
      <c r="C47" s="14" t="n">
        <v>2000000</v>
      </c>
      <c r="D47" s="14" t="n">
        <v>1500000</v>
      </c>
      <c r="E47" s="3" t="s">
        <v>96</v>
      </c>
      <c r="F47" s="3"/>
    </row>
    <row r="48" customFormat="false" ht="15" hidden="false" customHeight="false" outlineLevel="0" collapsed="false">
      <c r="A48" s="3" t="s">
        <v>114</v>
      </c>
      <c r="B48" s="14" t="n">
        <v>500000</v>
      </c>
      <c r="C48" s="14" t="n">
        <v>400000</v>
      </c>
      <c r="D48" s="14" t="n">
        <v>300000</v>
      </c>
      <c r="E48" s="3" t="s">
        <v>96</v>
      </c>
      <c r="F48" s="3"/>
    </row>
    <row r="49" customFormat="false" ht="15" hidden="false" customHeight="false" outlineLevel="0" collapsed="false">
      <c r="A49" s="3" t="s">
        <v>115</v>
      </c>
      <c r="B49" s="12" t="n">
        <v>100</v>
      </c>
      <c r="C49" s="12" t="n">
        <v>200</v>
      </c>
      <c r="D49" s="12" t="n">
        <v>200</v>
      </c>
      <c r="E49" s="3" t="s">
        <v>98</v>
      </c>
      <c r="F49" s="3"/>
    </row>
    <row r="50" customFormat="false" ht="15" hidden="false" customHeight="false" outlineLevel="0" collapsed="false">
      <c r="A50" s="3" t="s">
        <v>116</v>
      </c>
      <c r="B50" s="14" t="n">
        <v>15000</v>
      </c>
      <c r="E50" s="3" t="s">
        <v>107</v>
      </c>
      <c r="F50" s="3"/>
    </row>
    <row r="51" customFormat="false" ht="15" hidden="false" customHeight="false" outlineLevel="0" collapsed="false">
      <c r="A51" s="3" t="s">
        <v>117</v>
      </c>
      <c r="B51" s="14" t="n">
        <v>800000</v>
      </c>
      <c r="C51" s="14" t="n">
        <v>1100000</v>
      </c>
      <c r="D51" s="14" t="n">
        <v>1100000</v>
      </c>
      <c r="E51" s="3" t="s">
        <v>96</v>
      </c>
      <c r="F51" s="3"/>
    </row>
    <row r="52" customFormat="false" ht="15" hidden="false" customHeight="false" outlineLevel="0" collapsed="false">
      <c r="A52" s="3" t="s">
        <v>118</v>
      </c>
      <c r="B52" s="14" t="n">
        <v>300000</v>
      </c>
      <c r="C52" s="14" t="n">
        <v>300000</v>
      </c>
      <c r="D52" s="14" t="n">
        <v>300000</v>
      </c>
      <c r="E52" s="3" t="s">
        <v>107</v>
      </c>
      <c r="F52" s="3"/>
    </row>
    <row r="53" customFormat="false" ht="15" hidden="false" customHeight="false" outlineLevel="0" collapsed="false">
      <c r="A53" s="3" t="s">
        <v>119</v>
      </c>
      <c r="B53" s="14" t="n">
        <v>600000</v>
      </c>
      <c r="C53" s="14" t="n">
        <v>0</v>
      </c>
      <c r="D53" s="14" t="n">
        <v>0</v>
      </c>
      <c r="E53" s="3" t="s">
        <v>107</v>
      </c>
      <c r="F53" s="3"/>
    </row>
    <row r="54" customFormat="false" ht="15" hidden="false" customHeight="false" outlineLevel="0" collapsed="false">
      <c r="A54" s="3" t="s">
        <v>120</v>
      </c>
      <c r="B54" s="14" t="n">
        <v>800000</v>
      </c>
      <c r="C54" s="14" t="n">
        <v>800000</v>
      </c>
      <c r="D54" s="14" t="n">
        <v>800000</v>
      </c>
      <c r="E54" s="3" t="s">
        <v>107</v>
      </c>
      <c r="F54" s="3"/>
    </row>
    <row r="55" customFormat="false" ht="15" hidden="false" customHeight="false" outlineLevel="0" collapsed="false">
      <c r="A55" s="3" t="s">
        <v>121</v>
      </c>
      <c r="B55" s="14" t="n">
        <v>0</v>
      </c>
      <c r="C55" s="14" t="n">
        <v>0</v>
      </c>
      <c r="D55" s="14" t="n">
        <v>2500000</v>
      </c>
      <c r="E55" s="3" t="s">
        <v>107</v>
      </c>
      <c r="F55" s="3"/>
    </row>
    <row r="56" customFormat="false" ht="15" hidden="false" customHeight="false" outlineLevel="0" collapsed="false">
      <c r="A56" s="3" t="s">
        <v>122</v>
      </c>
      <c r="B56" s="14" t="n">
        <v>0</v>
      </c>
      <c r="C56" s="14" t="n">
        <v>2000000</v>
      </c>
      <c r="D56" s="14" t="n">
        <v>0</v>
      </c>
      <c r="E56" s="3" t="s">
        <v>107</v>
      </c>
      <c r="F56" s="3"/>
    </row>
    <row r="57" customFormat="false" ht="15" hidden="false" customHeight="false" outlineLevel="0" collapsed="false">
      <c r="A57" s="3" t="s">
        <v>123</v>
      </c>
      <c r="B57" s="14" t="n">
        <v>800000</v>
      </c>
      <c r="C57" s="14" t="n">
        <v>0</v>
      </c>
      <c r="D57" s="14" t="n">
        <v>0</v>
      </c>
      <c r="E57" s="3" t="s">
        <v>107</v>
      </c>
      <c r="F57" s="3"/>
    </row>
    <row r="58" customFormat="false" ht="15" hidden="false" customHeight="false" outlineLevel="0" collapsed="false">
      <c r="A58" s="3" t="s">
        <v>124</v>
      </c>
      <c r="B58" s="14" t="n">
        <v>600000</v>
      </c>
      <c r="C58" s="14" t="n">
        <v>600000</v>
      </c>
      <c r="D58" s="14" t="n">
        <v>600000</v>
      </c>
      <c r="E58" s="3" t="s">
        <v>107</v>
      </c>
      <c r="F58" s="3"/>
    </row>
    <row r="59" customFormat="false" ht="15" hidden="false" customHeight="false" outlineLevel="0" collapsed="false">
      <c r="A59" s="3" t="s">
        <v>125</v>
      </c>
      <c r="B59" s="14" t="n">
        <v>1500000</v>
      </c>
      <c r="E59" s="3" t="s">
        <v>96</v>
      </c>
      <c r="F59" s="3"/>
    </row>
    <row r="60" customFormat="false" ht="15" hidden="false" customHeight="false" outlineLevel="0" collapsed="false">
      <c r="A60" s="3" t="s">
        <v>126</v>
      </c>
      <c r="B60" s="13" t="n">
        <v>10</v>
      </c>
      <c r="C60" s="13" t="n">
        <v>5</v>
      </c>
      <c r="D60" s="13" t="n">
        <v>4</v>
      </c>
      <c r="E60" s="3" t="s">
        <v>98</v>
      </c>
      <c r="F60" s="3"/>
    </row>
    <row r="61" customFormat="false" ht="15" hidden="false" customHeight="false" outlineLevel="0" collapsed="false">
      <c r="A61" s="3" t="s">
        <v>127</v>
      </c>
      <c r="B61" s="12" t="n">
        <v>1200</v>
      </c>
      <c r="E61" s="3" t="s">
        <v>101</v>
      </c>
      <c r="F61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4" min="2" style="0" width="16"/>
    <col collapsed="false" customWidth="true" hidden="false" outlineLevel="0" max="5" min="5" style="0" width="17"/>
    <col collapsed="false" customWidth="true" hidden="false" outlineLevel="0" max="6" min="6" style="0" width="34"/>
    <col collapsed="false" customWidth="true" hidden="false" outlineLevel="0" max="7" min="7" style="0" width="10"/>
  </cols>
  <sheetData>
    <row r="1" customFormat="false" ht="16.15" hidden="false" customHeight="false" outlineLevel="0" collapsed="false">
      <c r="A1" s="1" t="s">
        <v>128</v>
      </c>
    </row>
    <row r="2" customFormat="false" ht="15" hidden="false" customHeight="false" outlineLevel="0" collapsed="false">
      <c r="A2" s="4" t="s">
        <v>129</v>
      </c>
      <c r="B2" s="4" t="s">
        <v>26</v>
      </c>
      <c r="C2" s="4" t="s">
        <v>27</v>
      </c>
      <c r="D2" s="4" t="s">
        <v>28</v>
      </c>
      <c r="E2" s="4" t="s">
        <v>29</v>
      </c>
      <c r="F2" s="4" t="s">
        <v>130</v>
      </c>
      <c r="G2" s="4" t="s">
        <v>131</v>
      </c>
    </row>
    <row r="3" customFormat="false" ht="15" hidden="false" customHeight="false" outlineLevel="0" collapsed="false">
      <c r="A3" s="3" t="s">
        <v>132</v>
      </c>
      <c r="B3" s="16" t="n">
        <f aca="false">(Assumptions!$B$16*12*Assumptions!$B$26+Assumptions!$B$17*12*Assumptions!$B$27+Assumptions!$B$18*12*Assumptions!$B$28+Assumptions!$B$19*12*Assumptions!$B$29+Assumptions!$B$20*12*Assumptions!$B$30+Assumptions!$B$21*12*Assumptions!$B$31+Assumptions!$B$22*12*Assumptions!$B$32+Assumptions!$B$23*12*Assumptions!$B$33+Assumptions!$B$24*12*Assumptions!$B$34+Assumptions!$B$25*12*Assumptions!$B$35)*Assumptions!$B$6*(1+Assumptions!$B$4)^0*Assumptions!$B$5</f>
        <v>11608875</v>
      </c>
      <c r="C3" s="16" t="n">
        <f aca="false">(Assumptions!$B$16*12*Assumptions!$C$26+Assumptions!$B$17*12*Assumptions!$C$27+Assumptions!$B$18*12*Assumptions!$C$28+Assumptions!$B$19*12*Assumptions!$C$29+Assumptions!$B$20*12*Assumptions!$C$30+Assumptions!$B$21*12*Assumptions!$C$31+Assumptions!$B$22*12*Assumptions!$C$32+Assumptions!$B$23*12*Assumptions!$C$33+Assumptions!$B$24*12*Assumptions!$C$34+Assumptions!$B$25*12*Assumptions!$C$35)*Assumptions!$B$6*(1+Assumptions!$B$4)^1</f>
        <v>25948800</v>
      </c>
      <c r="D3" s="16" t="n">
        <f aca="false">(Assumptions!$B$16*12*Assumptions!$D$26+Assumptions!$B$17*12*Assumptions!$D$27+Assumptions!$B$18*12*Assumptions!$D$28+Assumptions!$B$19*12*Assumptions!$D$29+Assumptions!$B$20*12*Assumptions!$D$30+Assumptions!$B$21*12*Assumptions!$D$31+Assumptions!$B$22*12*Assumptions!$D$32+Assumptions!$B$23*12*Assumptions!$D$33+Assumptions!$B$24*12*Assumptions!$D$34+Assumptions!$B$25*12*Assumptions!$D$35)*Assumptions!$B$6*(1+Assumptions!$B$4)^2</f>
        <v>33866427.6</v>
      </c>
      <c r="E3" s="17" t="n">
        <f aca="false">SUM(B3:D3)</f>
        <v>71424102.6</v>
      </c>
      <c r="F3" s="3" t="s">
        <v>30</v>
      </c>
      <c r="G3" s="3" t="s">
        <v>133</v>
      </c>
    </row>
    <row r="4" customFormat="false" ht="15" hidden="false" customHeight="false" outlineLevel="0" collapsed="false">
      <c r="A4" s="3" t="s">
        <v>95</v>
      </c>
      <c r="B4" s="16" t="n">
        <f aca="false">Assumptions!$B$36*(1+Assumptions!$B$4)^0</f>
        <v>1200000</v>
      </c>
      <c r="C4" s="16" t="n">
        <f aca="false">Assumptions!$C$36*(1+Assumptions!$B$4)^1</f>
        <v>1484000</v>
      </c>
      <c r="D4" s="16" t="n">
        <f aca="false">Assumptions!$D$36*(1+Assumptions!$B$4)^2</f>
        <v>1573040</v>
      </c>
      <c r="E4" s="17" t="n">
        <f aca="false">SUM(B4:D4)</f>
        <v>4257040</v>
      </c>
      <c r="F4" s="3" t="s">
        <v>31</v>
      </c>
      <c r="G4" s="3" t="s">
        <v>133</v>
      </c>
    </row>
    <row r="5" customFormat="false" ht="15" hidden="false" customHeight="false" outlineLevel="0" collapsed="false">
      <c r="A5" s="3" t="s">
        <v>134</v>
      </c>
      <c r="B5" s="16" t="n">
        <f aca="false">Assumptions!$B$37*Assumptions!$B$38*12*(1+Assumptions!$B$4)^0</f>
        <v>2880000</v>
      </c>
      <c r="C5" s="16" t="n">
        <f aca="false">Assumptions!$C$37*Assumptions!$B$38*12*(1+Assumptions!$B$4)^1</f>
        <v>5088000</v>
      </c>
      <c r="D5" s="16" t="n">
        <f aca="false">Assumptions!$D$37*Assumptions!$B$38*12*(1+Assumptions!$B$4)^2</f>
        <v>6471936</v>
      </c>
      <c r="E5" s="17" t="n">
        <f aca="false">SUM(B5:D5)</f>
        <v>14439936</v>
      </c>
      <c r="F5" s="3" t="s">
        <v>31</v>
      </c>
      <c r="G5" s="3" t="s">
        <v>133</v>
      </c>
    </row>
    <row r="6" customFormat="false" ht="15" hidden="false" customHeight="false" outlineLevel="0" collapsed="false">
      <c r="A6" s="3" t="s">
        <v>135</v>
      </c>
      <c r="B6" s="16" t="n">
        <f aca="false">Assumptions!$B$39*Assumptions!$B$7*Assumptions!$B$3</f>
        <v>8832000</v>
      </c>
      <c r="C6" s="16" t="n">
        <f aca="false">Assumptions!$C$39*Assumptions!$B$7*Assumptions!$B$3</f>
        <v>7872000</v>
      </c>
      <c r="D6" s="16" t="n">
        <f aca="false">Assumptions!$D$39*Assumptions!$B$7*Assumptions!$B$3</f>
        <v>2304000</v>
      </c>
      <c r="E6" s="17" t="n">
        <f aca="false">SUM(B6:D6)</f>
        <v>19008000</v>
      </c>
      <c r="F6" s="3" t="s">
        <v>32</v>
      </c>
      <c r="G6" s="3" t="s">
        <v>136</v>
      </c>
    </row>
    <row r="7" customFormat="false" ht="15" hidden="false" customHeight="false" outlineLevel="0" collapsed="false">
      <c r="A7" s="3" t="s">
        <v>103</v>
      </c>
      <c r="B7" s="16" t="n">
        <f aca="false">Assumptions!$B$40*(1+Assumptions!$B$4)^0</f>
        <v>2500000</v>
      </c>
      <c r="C7" s="16" t="n">
        <f aca="false">Assumptions!$C$40*(1+Assumptions!$B$4)^1</f>
        <v>3392000</v>
      </c>
      <c r="D7" s="16" t="n">
        <f aca="false">Assumptions!$D$40*(1+Assumptions!$B$4)^2</f>
        <v>4269680</v>
      </c>
      <c r="E7" s="17" t="n">
        <f aca="false">SUM(B7:D7)</f>
        <v>10161680</v>
      </c>
      <c r="F7" s="3" t="s">
        <v>32</v>
      </c>
      <c r="G7" s="3" t="s">
        <v>133</v>
      </c>
    </row>
    <row r="8" customFormat="false" ht="15" hidden="false" customHeight="false" outlineLevel="0" collapsed="false">
      <c r="A8" s="3" t="s">
        <v>137</v>
      </c>
      <c r="B8" s="16" t="n">
        <f aca="false">0</f>
        <v>0</v>
      </c>
      <c r="C8" s="16" t="n">
        <f aca="false">Assumptions!$B$10*Assumptions!$B$3</f>
        <v>0</v>
      </c>
      <c r="D8" s="16" t="n">
        <f aca="false">0</f>
        <v>0</v>
      </c>
      <c r="E8" s="17" t="n">
        <f aca="false">SUM(B8:D8)</f>
        <v>0</v>
      </c>
      <c r="F8" s="3" t="s">
        <v>32</v>
      </c>
      <c r="G8" s="3" t="s">
        <v>136</v>
      </c>
    </row>
    <row r="9" customFormat="false" ht="15" hidden="false" customHeight="false" outlineLevel="0" collapsed="false">
      <c r="A9" s="3" t="s">
        <v>138</v>
      </c>
      <c r="B9" s="16" t="n">
        <f aca="false">Assumptions!$B$11*Assumptions!$B$60*Assumptions!$B$61*Assumptions!$B$3</f>
        <v>0</v>
      </c>
      <c r="C9" s="16" t="n">
        <f aca="false">Assumptions!$B$11*Assumptions!$C$60*Assumptions!$B$61*Assumptions!$B$3</f>
        <v>0</v>
      </c>
      <c r="D9" s="16" t="n">
        <f aca="false">Assumptions!$B$11*Assumptions!$D$60*Assumptions!$B$61*Assumptions!$B$3</f>
        <v>0</v>
      </c>
      <c r="E9" s="17" t="n">
        <f aca="false">SUM(B9:D9)</f>
        <v>0</v>
      </c>
      <c r="F9" s="3" t="s">
        <v>32</v>
      </c>
      <c r="G9" s="3" t="s">
        <v>136</v>
      </c>
    </row>
    <row r="10" customFormat="false" ht="15" hidden="false" customHeight="false" outlineLevel="0" collapsed="false">
      <c r="A10" s="3" t="s">
        <v>139</v>
      </c>
      <c r="B10" s="16" t="n">
        <f aca="false">Assumptions!$B$41*Assumptions!$B$42*(1+Assumptions!$B$4)^0</f>
        <v>1250000</v>
      </c>
      <c r="C10" s="16" t="n">
        <f aca="false">Assumptions!$C$41*Assumptions!$B$42*(1+Assumptions!$B$4)^1</f>
        <v>2120000</v>
      </c>
      <c r="D10" s="16" t="n">
        <f aca="false">Assumptions!$D$41*Assumptions!$B$42*(1+Assumptions!$B$4)^2</f>
        <v>1966300</v>
      </c>
      <c r="E10" s="17" t="n">
        <f aca="false">SUM(B10:D10)</f>
        <v>5336300</v>
      </c>
      <c r="F10" s="3" t="s">
        <v>33</v>
      </c>
      <c r="G10" s="3" t="s">
        <v>136</v>
      </c>
    </row>
    <row r="11" customFormat="false" ht="15" hidden="false" customHeight="false" outlineLevel="0" collapsed="false">
      <c r="A11" s="3" t="s">
        <v>108</v>
      </c>
      <c r="B11" s="16" t="n">
        <f aca="false">Assumptions!$B$43*Assumptions!$B$44*(1+Assumptions!$B$4)^0</f>
        <v>120000</v>
      </c>
      <c r="C11" s="16" t="n">
        <f aca="false">Assumptions!$C$43*Assumptions!$B$44*(1+Assumptions!$B$4)^1</f>
        <v>63600</v>
      </c>
      <c r="D11" s="16" t="n">
        <f aca="false">Assumptions!$D$43*Assumptions!$B$44*(1+Assumptions!$B$4)^2</f>
        <v>0</v>
      </c>
      <c r="E11" s="17" t="n">
        <f aca="false">SUM(B11:D11)</f>
        <v>183600</v>
      </c>
      <c r="F11" s="3" t="s">
        <v>33</v>
      </c>
      <c r="G11" s="3" t="s">
        <v>136</v>
      </c>
    </row>
    <row r="12" customFormat="false" ht="15" hidden="false" customHeight="false" outlineLevel="0" collapsed="false">
      <c r="A12" s="3" t="s">
        <v>110</v>
      </c>
      <c r="B12" s="16" t="n">
        <f aca="false">Assumptions!$B$45*Assumptions!$B$46*(1+Assumptions!$B$4)^0</f>
        <v>200000</v>
      </c>
      <c r="C12" s="16" t="n">
        <f aca="false">Assumptions!$C$45*Assumptions!$B$46*(1+Assumptions!$B$4)^1</f>
        <v>424000</v>
      </c>
      <c r="D12" s="16" t="n">
        <f aca="false">Assumptions!$D$45*Assumptions!$B$46*(1+Assumptions!$B$4)^2</f>
        <v>449440</v>
      </c>
      <c r="E12" s="17" t="n">
        <f aca="false">SUM(B12:D12)</f>
        <v>1073440</v>
      </c>
      <c r="F12" s="3" t="s">
        <v>33</v>
      </c>
      <c r="G12" s="3" t="s">
        <v>133</v>
      </c>
    </row>
    <row r="13" customFormat="false" ht="15" hidden="false" customHeight="false" outlineLevel="0" collapsed="false">
      <c r="A13" s="3" t="s">
        <v>113</v>
      </c>
      <c r="B13" s="16" t="n">
        <f aca="false">Assumptions!$B$47*(1+Assumptions!$B$4)^0</f>
        <v>2000000</v>
      </c>
      <c r="C13" s="16" t="n">
        <f aca="false">Assumptions!$C$47*(1+Assumptions!$B$4)^1</f>
        <v>2120000</v>
      </c>
      <c r="D13" s="16" t="n">
        <f aca="false">Assumptions!$D$47*(1+Assumptions!$B$4)^2</f>
        <v>1685400</v>
      </c>
      <c r="E13" s="17" t="n">
        <f aca="false">SUM(B13:D13)</f>
        <v>5805400</v>
      </c>
      <c r="F13" s="3" t="s">
        <v>33</v>
      </c>
      <c r="G13" s="3" t="s">
        <v>133</v>
      </c>
    </row>
    <row r="14" customFormat="false" ht="15" hidden="false" customHeight="false" outlineLevel="0" collapsed="false">
      <c r="A14" s="3" t="s">
        <v>114</v>
      </c>
      <c r="B14" s="16" t="n">
        <f aca="false">Assumptions!$B$48*(1+Assumptions!$B$4)^0</f>
        <v>500000</v>
      </c>
      <c r="C14" s="16" t="n">
        <f aca="false">Assumptions!$C$48*(1+Assumptions!$B$4)^1</f>
        <v>424000</v>
      </c>
      <c r="D14" s="16" t="n">
        <f aca="false">Assumptions!$D$48*(1+Assumptions!$B$4)^2</f>
        <v>337080</v>
      </c>
      <c r="E14" s="17" t="n">
        <f aca="false">SUM(B14:D14)</f>
        <v>1261080</v>
      </c>
      <c r="F14" s="3" t="s">
        <v>33</v>
      </c>
      <c r="G14" s="3" t="s">
        <v>133</v>
      </c>
    </row>
    <row r="15" customFormat="false" ht="15" hidden="false" customHeight="false" outlineLevel="0" collapsed="false">
      <c r="A15" s="3" t="s">
        <v>140</v>
      </c>
      <c r="B15" s="16" t="n">
        <f aca="false">Assumptions!$B$49*Assumptions!$B$50*(1+Assumptions!$B$4)^0</f>
        <v>1500000</v>
      </c>
      <c r="C15" s="16" t="n">
        <f aca="false">Assumptions!$C$49*Assumptions!$B$50*(1+Assumptions!$B$4)^1</f>
        <v>3180000</v>
      </c>
      <c r="D15" s="16" t="n">
        <f aca="false">Assumptions!$D$49*Assumptions!$B$50*(1+Assumptions!$B$4)^2</f>
        <v>3370800</v>
      </c>
      <c r="E15" s="17" t="n">
        <f aca="false">SUM(B15:D15)</f>
        <v>8050800</v>
      </c>
      <c r="F15" s="3" t="s">
        <v>34</v>
      </c>
      <c r="G15" s="3" t="s">
        <v>133</v>
      </c>
    </row>
    <row r="16" customFormat="false" ht="15" hidden="false" customHeight="false" outlineLevel="0" collapsed="false">
      <c r="A16" s="3" t="s">
        <v>117</v>
      </c>
      <c r="B16" s="16" t="n">
        <f aca="false">Assumptions!$B$51*(1+Assumptions!$B$4)^0</f>
        <v>800000</v>
      </c>
      <c r="C16" s="16" t="n">
        <f aca="false">Assumptions!$C$51*(1+Assumptions!$B$4)^1</f>
        <v>1166000</v>
      </c>
      <c r="D16" s="16" t="n">
        <f aca="false">Assumptions!$D$51*(1+Assumptions!$B$4)^2</f>
        <v>1235960</v>
      </c>
      <c r="E16" s="17" t="n">
        <f aca="false">SUM(B16:D16)</f>
        <v>3201960</v>
      </c>
      <c r="F16" s="3" t="s">
        <v>34</v>
      </c>
      <c r="G16" s="3" t="s">
        <v>133</v>
      </c>
    </row>
    <row r="17" customFormat="false" ht="15" hidden="false" customHeight="false" outlineLevel="0" collapsed="false">
      <c r="A17" s="3" t="s">
        <v>141</v>
      </c>
      <c r="B17" s="16" t="n">
        <f aca="false">Assumptions!$B$11*Assumptions!$B$59*(1+Assumptions!$B$4)^0</f>
        <v>0</v>
      </c>
      <c r="C17" s="16" t="n">
        <f aca="false">Assumptions!$B$11*Assumptions!$B$59*(1+Assumptions!$B$4)^1</f>
        <v>0</v>
      </c>
      <c r="D17" s="16" t="n">
        <f aca="false">Assumptions!$B$11*Assumptions!$B$59*(1+Assumptions!$B$4)^2</f>
        <v>0</v>
      </c>
      <c r="E17" s="17" t="n">
        <f aca="false">SUM(B17:D17)</f>
        <v>0</v>
      </c>
      <c r="F17" s="3" t="s">
        <v>34</v>
      </c>
      <c r="G17" s="3" t="s">
        <v>133</v>
      </c>
    </row>
    <row r="18" customFormat="false" ht="15" hidden="false" customHeight="false" outlineLevel="0" collapsed="false">
      <c r="A18" s="3" t="s">
        <v>118</v>
      </c>
      <c r="B18" s="16" t="n">
        <f aca="false">Assumptions!$B$52*(1+Assumptions!$B$4)^0</f>
        <v>300000</v>
      </c>
      <c r="C18" s="16" t="n">
        <f aca="false">Assumptions!$C$52*(1+Assumptions!$B$4)^1</f>
        <v>318000</v>
      </c>
      <c r="D18" s="16" t="n">
        <f aca="false">Assumptions!$D$52*(1+Assumptions!$B$4)^2</f>
        <v>337080</v>
      </c>
      <c r="E18" s="17" t="n">
        <f aca="false">SUM(B18:D18)</f>
        <v>955080</v>
      </c>
      <c r="F18" s="3" t="s">
        <v>35</v>
      </c>
      <c r="G18" s="3" t="s">
        <v>133</v>
      </c>
    </row>
    <row r="19" customFormat="false" ht="15" hidden="false" customHeight="false" outlineLevel="0" collapsed="false">
      <c r="A19" s="3" t="s">
        <v>142</v>
      </c>
      <c r="B19" s="16" t="n">
        <f aca="false">Assumptions!$B$53*(1+Assumptions!$B$4)^0</f>
        <v>600000</v>
      </c>
      <c r="C19" s="16" t="n">
        <f aca="false">Assumptions!$C$53*(1+Assumptions!$B$4)^1</f>
        <v>0</v>
      </c>
      <c r="D19" s="16" t="n">
        <f aca="false">Assumptions!$D$53*(1+Assumptions!$B$4)^2</f>
        <v>0</v>
      </c>
      <c r="E19" s="17" t="n">
        <f aca="false">SUM(B19:D19)</f>
        <v>600000</v>
      </c>
      <c r="F19" s="3" t="s">
        <v>35</v>
      </c>
      <c r="G19" s="3" t="s">
        <v>136</v>
      </c>
    </row>
    <row r="20" customFormat="false" ht="15" hidden="false" customHeight="false" outlineLevel="0" collapsed="false">
      <c r="A20" s="3" t="s">
        <v>120</v>
      </c>
      <c r="B20" s="16" t="n">
        <f aca="false">Assumptions!$B$54*(1+Assumptions!$B$4)^0</f>
        <v>800000</v>
      </c>
      <c r="C20" s="16" t="n">
        <f aca="false">Assumptions!$C$54*(1+Assumptions!$B$4)^1</f>
        <v>848000</v>
      </c>
      <c r="D20" s="16" t="n">
        <f aca="false">Assumptions!$D$54*(1+Assumptions!$B$4)^2</f>
        <v>898880</v>
      </c>
      <c r="E20" s="17" t="n">
        <f aca="false">SUM(B20:D20)</f>
        <v>2546880</v>
      </c>
      <c r="F20" s="3" t="s">
        <v>35</v>
      </c>
      <c r="G20" s="3" t="s">
        <v>133</v>
      </c>
    </row>
    <row r="21" customFormat="false" ht="15" hidden="false" customHeight="false" outlineLevel="0" collapsed="false">
      <c r="A21" s="3" t="s">
        <v>143</v>
      </c>
      <c r="B21" s="16" t="n">
        <f aca="false">Assumptions!$B$55*(1+Assumptions!$B$4)^0</f>
        <v>0</v>
      </c>
      <c r="C21" s="16" t="n">
        <f aca="false">Assumptions!$C$55*(1+Assumptions!$B$4)^1</f>
        <v>0</v>
      </c>
      <c r="D21" s="16" t="n">
        <f aca="false">Assumptions!$D$55*(1+Assumptions!$B$4)^2</f>
        <v>2809000</v>
      </c>
      <c r="E21" s="17" t="n">
        <f aca="false">SUM(B21:D21)</f>
        <v>2809000</v>
      </c>
      <c r="F21" s="3" t="s">
        <v>35</v>
      </c>
      <c r="G21" s="3" t="s">
        <v>136</v>
      </c>
    </row>
    <row r="22" customFormat="false" ht="15" hidden="false" customHeight="false" outlineLevel="0" collapsed="false">
      <c r="A22" s="3" t="s">
        <v>144</v>
      </c>
      <c r="B22" s="16" t="n">
        <f aca="false">Assumptions!$B$56*(1+Assumptions!$B$4)^0</f>
        <v>0</v>
      </c>
      <c r="C22" s="16" t="n">
        <f aca="false">Assumptions!$C$56*(1+Assumptions!$B$4)^1</f>
        <v>2120000</v>
      </c>
      <c r="D22" s="16" t="n">
        <f aca="false">Assumptions!$D$56*(1+Assumptions!$B$4)^2</f>
        <v>0</v>
      </c>
      <c r="E22" s="17" t="n">
        <f aca="false">SUM(B22:D22)</f>
        <v>2120000</v>
      </c>
      <c r="F22" s="3" t="s">
        <v>35</v>
      </c>
      <c r="G22" s="3" t="s">
        <v>136</v>
      </c>
    </row>
    <row r="23" customFormat="false" ht="15" hidden="false" customHeight="false" outlineLevel="0" collapsed="false">
      <c r="A23" s="3" t="s">
        <v>145</v>
      </c>
      <c r="B23" s="16" t="n">
        <f aca="false">Assumptions!$B$57*(1+Assumptions!$B$4)^0</f>
        <v>800000</v>
      </c>
      <c r="C23" s="16" t="n">
        <f aca="false">Assumptions!$C$57*(1+Assumptions!$B$4)^1</f>
        <v>0</v>
      </c>
      <c r="D23" s="16" t="n">
        <f aca="false">Assumptions!$D$57*(1+Assumptions!$B$4)^2</f>
        <v>0</v>
      </c>
      <c r="E23" s="17" t="n">
        <f aca="false">SUM(B23:D23)</f>
        <v>800000</v>
      </c>
      <c r="F23" s="3" t="s">
        <v>35</v>
      </c>
      <c r="G23" s="3" t="s">
        <v>136</v>
      </c>
    </row>
    <row r="24" customFormat="false" ht="15" hidden="false" customHeight="false" outlineLevel="0" collapsed="false">
      <c r="A24" s="3" t="s">
        <v>124</v>
      </c>
      <c r="B24" s="16" t="n">
        <f aca="false">Assumptions!$B$58*(1+Assumptions!$B$4)^0</f>
        <v>600000</v>
      </c>
      <c r="C24" s="16" t="n">
        <f aca="false">Assumptions!$C$58*(1+Assumptions!$B$4)^1</f>
        <v>636000</v>
      </c>
      <c r="D24" s="16" t="n">
        <f aca="false">Assumptions!$D$58*(1+Assumptions!$B$4)^2</f>
        <v>674160</v>
      </c>
      <c r="E24" s="17" t="n">
        <f aca="false">SUM(B24:D24)</f>
        <v>1910160</v>
      </c>
      <c r="F24" s="3" t="s">
        <v>35</v>
      </c>
      <c r="G24" s="3" t="s">
        <v>133</v>
      </c>
    </row>
    <row r="26" customFormat="false" ht="15" hidden="false" customHeight="false" outlineLevel="0" collapsed="false">
      <c r="A26" s="2" t="s">
        <v>146</v>
      </c>
    </row>
    <row r="27" customFormat="false" ht="15" hidden="false" customHeight="false" outlineLevel="0" collapsed="false">
      <c r="A27" s="4" t="s">
        <v>147</v>
      </c>
      <c r="B27" s="4" t="s">
        <v>26</v>
      </c>
      <c r="C27" s="4" t="s">
        <v>27</v>
      </c>
      <c r="D27" s="4" t="s">
        <v>28</v>
      </c>
      <c r="E27" s="4" t="s">
        <v>29</v>
      </c>
      <c r="F27" s="4" t="s">
        <v>148</v>
      </c>
    </row>
    <row r="28" customFormat="false" ht="15" hidden="false" customHeight="false" outlineLevel="0" collapsed="false">
      <c r="A28" s="3" t="s">
        <v>30</v>
      </c>
      <c r="B28" s="17" t="n">
        <f aca="false">SUM(B3)</f>
        <v>11608875</v>
      </c>
      <c r="C28" s="17" t="n">
        <f aca="false">SUM(C3)</f>
        <v>25948800</v>
      </c>
      <c r="D28" s="17" t="n">
        <f aca="false">SUM(D3)</f>
        <v>33866427.6</v>
      </c>
      <c r="E28" s="17" t="n">
        <f aca="false">SUM(E3)</f>
        <v>71424102.6</v>
      </c>
      <c r="F28" s="18" t="n">
        <f aca="false">IF($E$37=0,0,E28/$E$37)</f>
        <v>0.39826945992134</v>
      </c>
    </row>
    <row r="29" customFormat="false" ht="15" hidden="false" customHeight="false" outlineLevel="0" collapsed="false">
      <c r="A29" s="3" t="s">
        <v>31</v>
      </c>
      <c r="B29" s="17" t="n">
        <f aca="false">SUM(B4,B5)</f>
        <v>4080000</v>
      </c>
      <c r="C29" s="17" t="n">
        <f aca="false">SUM(C4,C5)</f>
        <v>6572000</v>
      </c>
      <c r="D29" s="17" t="n">
        <f aca="false">SUM(D4,D5)</f>
        <v>8044976</v>
      </c>
      <c r="E29" s="17" t="n">
        <f aca="false">SUM(E4,E5)</f>
        <v>18696976</v>
      </c>
      <c r="F29" s="18" t="n">
        <f aca="false">IF($E$37=0,0,E29/$E$37)</f>
        <v>0.104256606140156</v>
      </c>
    </row>
    <row r="30" customFormat="false" ht="15" hidden="false" customHeight="false" outlineLevel="0" collapsed="false">
      <c r="A30" s="3" t="s">
        <v>32</v>
      </c>
      <c r="B30" s="17" t="n">
        <f aca="false">SUM(B6,B7,B8,B9)</f>
        <v>11332000</v>
      </c>
      <c r="C30" s="17" t="n">
        <f aca="false">SUM(C6,C7,C8,C9)</f>
        <v>11264000</v>
      </c>
      <c r="D30" s="17" t="n">
        <f aca="false">SUM(D6,D7,D8,D9)</f>
        <v>6573680</v>
      </c>
      <c r="E30" s="17" t="n">
        <f aca="false">SUM(E6,E7,E8,E9)</f>
        <v>29169680</v>
      </c>
      <c r="F30" s="18" t="n">
        <f aca="false">IF($E$37=0,0,E30/$E$37)</f>
        <v>0.162653673994895</v>
      </c>
    </row>
    <row r="31" customFormat="false" ht="15" hidden="false" customHeight="false" outlineLevel="0" collapsed="false">
      <c r="A31" s="3" t="s">
        <v>33</v>
      </c>
      <c r="B31" s="17" t="n">
        <f aca="false">SUM(B10,B11,B12,B13,B14)</f>
        <v>4070000</v>
      </c>
      <c r="C31" s="17" t="n">
        <f aca="false">SUM(C10,C11,C12,C13,C14)</f>
        <v>5151600</v>
      </c>
      <c r="D31" s="17" t="n">
        <f aca="false">SUM(D10,D11,D12,D13,D14)</f>
        <v>4438220</v>
      </c>
      <c r="E31" s="17" t="n">
        <f aca="false">SUM(E10,E11,E12,E13,E14)</f>
        <v>13659820</v>
      </c>
      <c r="F31" s="18" t="n">
        <f aca="false">IF($E$37=0,0,E31/$E$37)</f>
        <v>0.0761688132714841</v>
      </c>
    </row>
    <row r="32" customFormat="false" ht="15" hidden="false" customHeight="false" outlineLevel="0" collapsed="false">
      <c r="A32" s="3" t="s">
        <v>34</v>
      </c>
      <c r="B32" s="17" t="n">
        <f aca="false">SUM(B15,B16,B17)</f>
        <v>2300000</v>
      </c>
      <c r="C32" s="17" t="n">
        <f aca="false">SUM(C15,C16,C17)</f>
        <v>4346000</v>
      </c>
      <c r="D32" s="17" t="n">
        <f aca="false">SUM(D15,D16,D17)</f>
        <v>4606760</v>
      </c>
      <c r="E32" s="17" t="n">
        <f aca="false">SUM(E15,E16,E17)</f>
        <v>11252760</v>
      </c>
      <c r="F32" s="18" t="n">
        <f aca="false">IF($E$37=0,0,E32/$E$37)</f>
        <v>0.0627467547324069</v>
      </c>
    </row>
    <row r="33" customFormat="false" ht="15" hidden="false" customHeight="false" outlineLevel="0" collapsed="false">
      <c r="A33" s="3" t="s">
        <v>35</v>
      </c>
      <c r="B33" s="17" t="n">
        <f aca="false">SUM(B18,B19,B20,B21,B22,B23,B24)</f>
        <v>3100000</v>
      </c>
      <c r="C33" s="17" t="n">
        <f aca="false">SUM(C18,C19,C20,C21,C22,C23,C24)</f>
        <v>3922000</v>
      </c>
      <c r="D33" s="17" t="n">
        <f aca="false">SUM(D18,D19,D20,D21,D22,D23,D24)</f>
        <v>4719120</v>
      </c>
      <c r="E33" s="17" t="n">
        <f aca="false">SUM(E18,E19,E20,E21,E22,E23,E24)</f>
        <v>11741120</v>
      </c>
      <c r="F33" s="18" t="n">
        <f aca="false">IF($E$37=0,0,E33/$E$37)</f>
        <v>0.0654699093310225</v>
      </c>
    </row>
    <row r="34" customFormat="false" ht="15" hidden="false" customHeight="false" outlineLevel="0" collapsed="false">
      <c r="A34" s="2" t="s">
        <v>149</v>
      </c>
      <c r="B34" s="19" t="n">
        <f aca="false">SUM(B28:B33)</f>
        <v>36490875</v>
      </c>
      <c r="C34" s="19" t="n">
        <f aca="false">SUM(C28:C33)</f>
        <v>57204400</v>
      </c>
      <c r="D34" s="19" t="n">
        <f aca="false">SUM(D28:D33)</f>
        <v>62249183.6</v>
      </c>
      <c r="E34" s="19" t="n">
        <f aca="false">SUM(E28:E33)</f>
        <v>155944458.6</v>
      </c>
      <c r="F34" s="18" t="n">
        <f aca="false">IF($E$37=0,0,E34/$E$37)</f>
        <v>0.869565217391304</v>
      </c>
    </row>
    <row r="35" customFormat="false" ht="15" hidden="false" customHeight="false" outlineLevel="0" collapsed="false">
      <c r="A35" s="3" t="s">
        <v>36</v>
      </c>
      <c r="B35" s="16" t="n">
        <f aca="false">B34*Assumptions!$B$8</f>
        <v>3649087.5</v>
      </c>
      <c r="C35" s="16" t="n">
        <f aca="false">C34*Assumptions!$B$8</f>
        <v>5720440</v>
      </c>
      <c r="D35" s="16" t="n">
        <f aca="false">D34*Assumptions!$B$8</f>
        <v>6224918.36</v>
      </c>
      <c r="E35" s="20" t="n">
        <f aca="false">SUM(B35:D35)</f>
        <v>15594445.86</v>
      </c>
      <c r="F35" s="18" t="n">
        <f aca="false">IF($E$37=0,0,E35/$E$37)</f>
        <v>0.0869565217391304</v>
      </c>
    </row>
    <row r="36" customFormat="false" ht="15" hidden="false" customHeight="false" outlineLevel="0" collapsed="false">
      <c r="A36" s="3" t="s">
        <v>37</v>
      </c>
      <c r="B36" s="16" t="n">
        <f aca="false">B34*Assumptions!$B$9</f>
        <v>1824543.75</v>
      </c>
      <c r="C36" s="16" t="n">
        <f aca="false">C34*Assumptions!$B$9</f>
        <v>2860220</v>
      </c>
      <c r="D36" s="16" t="n">
        <f aca="false">D34*Assumptions!$B$9</f>
        <v>3112459.18</v>
      </c>
      <c r="E36" s="20" t="n">
        <f aca="false">SUM(B36:D36)</f>
        <v>7797222.93</v>
      </c>
      <c r="F36" s="18" t="n">
        <f aca="false">IF($E$37=0,0,E36/$E$37)</f>
        <v>0.0434782608695652</v>
      </c>
    </row>
    <row r="37" customFormat="false" ht="15" hidden="false" customHeight="false" outlineLevel="0" collapsed="false">
      <c r="A37" s="2" t="s">
        <v>29</v>
      </c>
      <c r="B37" s="19" t="n">
        <f aca="false">B34+B35+B36</f>
        <v>41964506.25</v>
      </c>
      <c r="C37" s="19" t="n">
        <f aca="false">C34+C35+C36</f>
        <v>65785060</v>
      </c>
      <c r="D37" s="19" t="n">
        <f aca="false">D34+D35+D36</f>
        <v>71586561.14</v>
      </c>
      <c r="E37" s="19" t="n">
        <f aca="false">E34+E35+E36</f>
        <v>179336127.39</v>
      </c>
      <c r="F37" s="18" t="n">
        <f aca="false">IF($E$37=0,0,E37/$E$37)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4" min="2" style="0" width="16"/>
    <col collapsed="false" customWidth="true" hidden="false" outlineLevel="0" max="5" min="5" style="0" width="17"/>
    <col collapsed="false" customWidth="true" hidden="false" outlineLevel="0" max="6" min="6" style="0" width="34"/>
    <col collapsed="false" customWidth="true" hidden="false" outlineLevel="0" max="7" min="7" style="0" width="10"/>
  </cols>
  <sheetData>
    <row r="1" customFormat="false" ht="16.15" hidden="false" customHeight="false" outlineLevel="0" collapsed="false">
      <c r="A1" s="1" t="s">
        <v>150</v>
      </c>
    </row>
    <row r="2" customFormat="false" ht="15" hidden="false" customHeight="false" outlineLevel="0" collapsed="false">
      <c r="A2" s="4" t="s">
        <v>129</v>
      </c>
      <c r="B2" s="4" t="s">
        <v>26</v>
      </c>
      <c r="C2" s="4" t="s">
        <v>27</v>
      </c>
      <c r="D2" s="4" t="s">
        <v>28</v>
      </c>
      <c r="E2" s="4" t="s">
        <v>29</v>
      </c>
      <c r="F2" s="4" t="s">
        <v>130</v>
      </c>
      <c r="G2" s="4" t="s">
        <v>131</v>
      </c>
    </row>
    <row r="3" customFormat="false" ht="15" hidden="false" customHeight="false" outlineLevel="0" collapsed="false">
      <c r="A3" s="3" t="s">
        <v>132</v>
      </c>
      <c r="B3" s="16" t="n">
        <f aca="false">(Assumptions!$B$16*12*Assumptions!$B$26+Assumptions!$B$17*12*Assumptions!$B$27+Assumptions!$B$18*12*Assumptions!$B$28+Assumptions!$B$19*12*Assumptions!$B$29+Assumptions!$B$20*12*Assumptions!$B$30+Assumptions!$B$21*12*Assumptions!$B$31+Assumptions!$B$22*12*Assumptions!$B$32+Assumptions!$B$23*12*Assumptions!$B$33+Assumptions!$B$24*12*Assumptions!$B$34+Assumptions!$B$25*12*Assumptions!$B$35)*Assumptions!$C$6*(1+Assumptions!$C$4)^0*Assumptions!$C$5</f>
        <v>13657500</v>
      </c>
      <c r="C3" s="16" t="n">
        <f aca="false">(Assumptions!$B$16*12*Assumptions!$C$26+Assumptions!$B$17*12*Assumptions!$C$27+Assumptions!$B$18*12*Assumptions!$C$28+Assumptions!$B$19*12*Assumptions!$C$29+Assumptions!$B$20*12*Assumptions!$C$30+Assumptions!$B$21*12*Assumptions!$C$31+Assumptions!$B$22*12*Assumptions!$C$32+Assumptions!$B$23*12*Assumptions!$C$33+Assumptions!$B$24*12*Assumptions!$C$34+Assumptions!$B$25*12*Assumptions!$C$35)*Assumptions!$C$6*(1+Assumptions!$C$4)^1</f>
        <v>31104000</v>
      </c>
      <c r="D3" s="16" t="n">
        <f aca="false">(Assumptions!$B$16*12*Assumptions!$D$26+Assumptions!$B$17*12*Assumptions!$D$27+Assumptions!$B$18*12*Assumptions!$D$28+Assumptions!$B$19*12*Assumptions!$D$29+Assumptions!$B$20*12*Assumptions!$D$30+Assumptions!$B$21*12*Assumptions!$D$31+Assumptions!$B$22*12*Assumptions!$D$32+Assumptions!$B$23*12*Assumptions!$D$33+Assumptions!$B$24*12*Assumptions!$D$34+Assumptions!$B$25*12*Assumptions!$D$35)*Assumptions!$C$6*(1+Assumptions!$C$4)^2</f>
        <v>41360544</v>
      </c>
      <c r="E3" s="17" t="n">
        <f aca="false">SUM(B3:D3)</f>
        <v>86122044</v>
      </c>
      <c r="F3" s="3" t="s">
        <v>30</v>
      </c>
      <c r="G3" s="3" t="s">
        <v>133</v>
      </c>
    </row>
    <row r="4" customFormat="false" ht="15" hidden="false" customHeight="false" outlineLevel="0" collapsed="false">
      <c r="A4" s="3" t="s">
        <v>95</v>
      </c>
      <c r="B4" s="16" t="n">
        <f aca="false">Assumptions!$B$36*(1+Assumptions!$C$4)^0</f>
        <v>1200000</v>
      </c>
      <c r="C4" s="16" t="n">
        <f aca="false">Assumptions!$C$36*(1+Assumptions!$C$4)^1</f>
        <v>1512000</v>
      </c>
      <c r="D4" s="16" t="n">
        <f aca="false">Assumptions!$D$36*(1+Assumptions!$C$4)^2</f>
        <v>1632960</v>
      </c>
      <c r="E4" s="17" t="n">
        <f aca="false">SUM(B4:D4)</f>
        <v>4344960</v>
      </c>
      <c r="F4" s="3" t="s">
        <v>31</v>
      </c>
      <c r="G4" s="3" t="s">
        <v>133</v>
      </c>
    </row>
    <row r="5" customFormat="false" ht="15" hidden="false" customHeight="false" outlineLevel="0" collapsed="false">
      <c r="A5" s="3" t="s">
        <v>134</v>
      </c>
      <c r="B5" s="16" t="n">
        <f aca="false">Assumptions!$B$37*Assumptions!$B$38*12*(1+Assumptions!$C$4)^0</f>
        <v>2880000</v>
      </c>
      <c r="C5" s="16" t="n">
        <f aca="false">Assumptions!$C$37*Assumptions!$B$38*12*(1+Assumptions!$C$4)^1</f>
        <v>5184000</v>
      </c>
      <c r="D5" s="16" t="n">
        <f aca="false">Assumptions!$D$37*Assumptions!$B$38*12*(1+Assumptions!$C$4)^2</f>
        <v>6718464</v>
      </c>
      <c r="E5" s="17" t="n">
        <f aca="false">SUM(B5:D5)</f>
        <v>14782464</v>
      </c>
      <c r="F5" s="3" t="s">
        <v>31</v>
      </c>
      <c r="G5" s="3" t="s">
        <v>133</v>
      </c>
    </row>
    <row r="6" customFormat="false" ht="15" hidden="false" customHeight="false" outlineLevel="0" collapsed="false">
      <c r="A6" s="3" t="s">
        <v>135</v>
      </c>
      <c r="B6" s="16" t="n">
        <f aca="false">Assumptions!$B$39*Assumptions!$C$7*Assumptions!$C$3</f>
        <v>11408000</v>
      </c>
      <c r="C6" s="16" t="n">
        <f aca="false">Assumptions!$C$39*Assumptions!$C$7*Assumptions!$C$3</f>
        <v>10168000</v>
      </c>
      <c r="D6" s="16" t="n">
        <f aca="false">Assumptions!$D$39*Assumptions!$C$7*Assumptions!$C$3</f>
        <v>2976000</v>
      </c>
      <c r="E6" s="17" t="n">
        <f aca="false">SUM(B6:D6)</f>
        <v>24552000</v>
      </c>
      <c r="F6" s="3" t="s">
        <v>32</v>
      </c>
      <c r="G6" s="3" t="s">
        <v>136</v>
      </c>
    </row>
    <row r="7" customFormat="false" ht="15" hidden="false" customHeight="false" outlineLevel="0" collapsed="false">
      <c r="A7" s="3" t="s">
        <v>103</v>
      </c>
      <c r="B7" s="16" t="n">
        <f aca="false">Assumptions!$B$40*(1+Assumptions!$C$4)^0</f>
        <v>2500000</v>
      </c>
      <c r="C7" s="16" t="n">
        <f aca="false">Assumptions!$C$40*(1+Assumptions!$C$4)^1</f>
        <v>3456000</v>
      </c>
      <c r="D7" s="16" t="n">
        <f aca="false">Assumptions!$D$40*(1+Assumptions!$C$4)^2</f>
        <v>4432320</v>
      </c>
      <c r="E7" s="17" t="n">
        <f aca="false">SUM(B7:D7)</f>
        <v>10388320</v>
      </c>
      <c r="F7" s="3" t="s">
        <v>32</v>
      </c>
      <c r="G7" s="3" t="s">
        <v>133</v>
      </c>
    </row>
    <row r="8" customFormat="false" ht="15" hidden="false" customHeight="false" outlineLevel="0" collapsed="false">
      <c r="A8" s="3" t="s">
        <v>137</v>
      </c>
      <c r="B8" s="16" t="n">
        <f aca="false">0</f>
        <v>0</v>
      </c>
      <c r="C8" s="16" t="n">
        <f aca="false">Assumptions!$C$10*Assumptions!$C$3</f>
        <v>0</v>
      </c>
      <c r="D8" s="16" t="n">
        <f aca="false">0</f>
        <v>0</v>
      </c>
      <c r="E8" s="17" t="n">
        <f aca="false">SUM(B8:D8)</f>
        <v>0</v>
      </c>
      <c r="F8" s="3" t="s">
        <v>32</v>
      </c>
      <c r="G8" s="3" t="s">
        <v>136</v>
      </c>
    </row>
    <row r="9" customFormat="false" ht="15" hidden="false" customHeight="false" outlineLevel="0" collapsed="false">
      <c r="A9" s="3" t="s">
        <v>138</v>
      </c>
      <c r="B9" s="16" t="n">
        <f aca="false">Assumptions!$C$11*Assumptions!$B$60*Assumptions!$B$61*Assumptions!$C$3</f>
        <v>0</v>
      </c>
      <c r="C9" s="16" t="n">
        <f aca="false">Assumptions!$C$11*Assumptions!$C$60*Assumptions!$B$61*Assumptions!$C$3</f>
        <v>0</v>
      </c>
      <c r="D9" s="16" t="n">
        <f aca="false">Assumptions!$C$11*Assumptions!$D$60*Assumptions!$B$61*Assumptions!$C$3</f>
        <v>0</v>
      </c>
      <c r="E9" s="17" t="n">
        <f aca="false">SUM(B9:D9)</f>
        <v>0</v>
      </c>
      <c r="F9" s="3" t="s">
        <v>32</v>
      </c>
      <c r="G9" s="3" t="s">
        <v>136</v>
      </c>
    </row>
    <row r="10" customFormat="false" ht="15" hidden="false" customHeight="false" outlineLevel="0" collapsed="false">
      <c r="A10" s="3" t="s">
        <v>139</v>
      </c>
      <c r="B10" s="16" t="n">
        <f aca="false">Assumptions!$B$41*Assumptions!$B$42*(1+Assumptions!$C$4)^0</f>
        <v>1250000</v>
      </c>
      <c r="C10" s="16" t="n">
        <f aca="false">Assumptions!$C$41*Assumptions!$B$42*(1+Assumptions!$C$4)^1</f>
        <v>2160000</v>
      </c>
      <c r="D10" s="16" t="n">
        <f aca="false">Assumptions!$D$41*Assumptions!$B$42*(1+Assumptions!$C$4)^2</f>
        <v>2041200</v>
      </c>
      <c r="E10" s="17" t="n">
        <f aca="false">SUM(B10:D10)</f>
        <v>5451200</v>
      </c>
      <c r="F10" s="3" t="s">
        <v>33</v>
      </c>
      <c r="G10" s="3" t="s">
        <v>136</v>
      </c>
    </row>
    <row r="11" customFormat="false" ht="15" hidden="false" customHeight="false" outlineLevel="0" collapsed="false">
      <c r="A11" s="3" t="s">
        <v>108</v>
      </c>
      <c r="B11" s="16" t="n">
        <f aca="false">Assumptions!$B$43*Assumptions!$B$44*(1+Assumptions!$C$4)^0</f>
        <v>120000</v>
      </c>
      <c r="C11" s="16" t="n">
        <f aca="false">Assumptions!$C$43*Assumptions!$B$44*(1+Assumptions!$C$4)^1</f>
        <v>64800</v>
      </c>
      <c r="D11" s="16" t="n">
        <f aca="false">Assumptions!$D$43*Assumptions!$B$44*(1+Assumptions!$C$4)^2</f>
        <v>0</v>
      </c>
      <c r="E11" s="17" t="n">
        <f aca="false">SUM(B11:D11)</f>
        <v>184800</v>
      </c>
      <c r="F11" s="3" t="s">
        <v>33</v>
      </c>
      <c r="G11" s="3" t="s">
        <v>136</v>
      </c>
    </row>
    <row r="12" customFormat="false" ht="15" hidden="false" customHeight="false" outlineLevel="0" collapsed="false">
      <c r="A12" s="3" t="s">
        <v>110</v>
      </c>
      <c r="B12" s="16" t="n">
        <f aca="false">Assumptions!$B$45*Assumptions!$B$46*(1+Assumptions!$C$4)^0</f>
        <v>200000</v>
      </c>
      <c r="C12" s="16" t="n">
        <f aca="false">Assumptions!$C$45*Assumptions!$B$46*(1+Assumptions!$C$4)^1</f>
        <v>432000</v>
      </c>
      <c r="D12" s="16" t="n">
        <f aca="false">Assumptions!$D$45*Assumptions!$B$46*(1+Assumptions!$C$4)^2</f>
        <v>466560</v>
      </c>
      <c r="E12" s="17" t="n">
        <f aca="false">SUM(B12:D12)</f>
        <v>1098560</v>
      </c>
      <c r="F12" s="3" t="s">
        <v>33</v>
      </c>
      <c r="G12" s="3" t="s">
        <v>133</v>
      </c>
    </row>
    <row r="13" customFormat="false" ht="15" hidden="false" customHeight="false" outlineLevel="0" collapsed="false">
      <c r="A13" s="3" t="s">
        <v>113</v>
      </c>
      <c r="B13" s="16" t="n">
        <f aca="false">Assumptions!$B$47*(1+Assumptions!$C$4)^0</f>
        <v>2000000</v>
      </c>
      <c r="C13" s="16" t="n">
        <f aca="false">Assumptions!$C$47*(1+Assumptions!$C$4)^1</f>
        <v>2160000</v>
      </c>
      <c r="D13" s="16" t="n">
        <f aca="false">Assumptions!$D$47*(1+Assumptions!$C$4)^2</f>
        <v>1749600</v>
      </c>
      <c r="E13" s="17" t="n">
        <f aca="false">SUM(B13:D13)</f>
        <v>5909600</v>
      </c>
      <c r="F13" s="3" t="s">
        <v>33</v>
      </c>
      <c r="G13" s="3" t="s">
        <v>133</v>
      </c>
    </row>
    <row r="14" customFormat="false" ht="15" hidden="false" customHeight="false" outlineLevel="0" collapsed="false">
      <c r="A14" s="3" t="s">
        <v>114</v>
      </c>
      <c r="B14" s="16" t="n">
        <f aca="false">Assumptions!$B$48*(1+Assumptions!$C$4)^0</f>
        <v>500000</v>
      </c>
      <c r="C14" s="16" t="n">
        <f aca="false">Assumptions!$C$48*(1+Assumptions!$C$4)^1</f>
        <v>432000</v>
      </c>
      <c r="D14" s="16" t="n">
        <f aca="false">Assumptions!$D$48*(1+Assumptions!$C$4)^2</f>
        <v>349920</v>
      </c>
      <c r="E14" s="17" t="n">
        <f aca="false">SUM(B14:D14)</f>
        <v>1281920</v>
      </c>
      <c r="F14" s="3" t="s">
        <v>33</v>
      </c>
      <c r="G14" s="3" t="s">
        <v>133</v>
      </c>
    </row>
    <row r="15" customFormat="false" ht="15" hidden="false" customHeight="false" outlineLevel="0" collapsed="false">
      <c r="A15" s="3" t="s">
        <v>140</v>
      </c>
      <c r="B15" s="16" t="n">
        <f aca="false">Assumptions!$B$49*Assumptions!$B$50*(1+Assumptions!$C$4)^0</f>
        <v>1500000</v>
      </c>
      <c r="C15" s="16" t="n">
        <f aca="false">Assumptions!$C$49*Assumptions!$B$50*(1+Assumptions!$C$4)^1</f>
        <v>3240000</v>
      </c>
      <c r="D15" s="16" t="n">
        <f aca="false">Assumptions!$D$49*Assumptions!$B$50*(1+Assumptions!$C$4)^2</f>
        <v>3499200</v>
      </c>
      <c r="E15" s="17" t="n">
        <f aca="false">SUM(B15:D15)</f>
        <v>8239200</v>
      </c>
      <c r="F15" s="3" t="s">
        <v>34</v>
      </c>
      <c r="G15" s="3" t="s">
        <v>133</v>
      </c>
    </row>
    <row r="16" customFormat="false" ht="15" hidden="false" customHeight="false" outlineLevel="0" collapsed="false">
      <c r="A16" s="3" t="s">
        <v>117</v>
      </c>
      <c r="B16" s="16" t="n">
        <f aca="false">Assumptions!$B$51*(1+Assumptions!$C$4)^0</f>
        <v>800000</v>
      </c>
      <c r="C16" s="16" t="n">
        <f aca="false">Assumptions!$C$51*(1+Assumptions!$C$4)^1</f>
        <v>1188000</v>
      </c>
      <c r="D16" s="16" t="n">
        <f aca="false">Assumptions!$D$51*(1+Assumptions!$C$4)^2</f>
        <v>1283040</v>
      </c>
      <c r="E16" s="17" t="n">
        <f aca="false">SUM(B16:D16)</f>
        <v>3271040</v>
      </c>
      <c r="F16" s="3" t="s">
        <v>34</v>
      </c>
      <c r="G16" s="3" t="s">
        <v>133</v>
      </c>
    </row>
    <row r="17" customFormat="false" ht="15" hidden="false" customHeight="false" outlineLevel="0" collapsed="false">
      <c r="A17" s="3" t="s">
        <v>141</v>
      </c>
      <c r="B17" s="16" t="n">
        <f aca="false">Assumptions!$C$11*Assumptions!$B$59*(1+Assumptions!$C$4)^0</f>
        <v>0</v>
      </c>
      <c r="C17" s="16" t="n">
        <f aca="false">Assumptions!$C$11*Assumptions!$B$59*(1+Assumptions!$C$4)^1</f>
        <v>0</v>
      </c>
      <c r="D17" s="16" t="n">
        <f aca="false">Assumptions!$C$11*Assumptions!$B$59*(1+Assumptions!$C$4)^2</f>
        <v>0</v>
      </c>
      <c r="E17" s="17" t="n">
        <f aca="false">SUM(B17:D17)</f>
        <v>0</v>
      </c>
      <c r="F17" s="3" t="s">
        <v>34</v>
      </c>
      <c r="G17" s="3" t="s">
        <v>133</v>
      </c>
    </row>
    <row r="18" customFormat="false" ht="15" hidden="false" customHeight="false" outlineLevel="0" collapsed="false">
      <c r="A18" s="3" t="s">
        <v>118</v>
      </c>
      <c r="B18" s="16" t="n">
        <f aca="false">Assumptions!$B$52*(1+Assumptions!$C$4)^0</f>
        <v>300000</v>
      </c>
      <c r="C18" s="16" t="n">
        <f aca="false">Assumptions!$C$52*(1+Assumptions!$C$4)^1</f>
        <v>324000</v>
      </c>
      <c r="D18" s="16" t="n">
        <f aca="false">Assumptions!$D$52*(1+Assumptions!$C$4)^2</f>
        <v>349920</v>
      </c>
      <c r="E18" s="17" t="n">
        <f aca="false">SUM(B18:D18)</f>
        <v>973920</v>
      </c>
      <c r="F18" s="3" t="s">
        <v>35</v>
      </c>
      <c r="G18" s="3" t="s">
        <v>133</v>
      </c>
    </row>
    <row r="19" customFormat="false" ht="15" hidden="false" customHeight="false" outlineLevel="0" collapsed="false">
      <c r="A19" s="3" t="s">
        <v>142</v>
      </c>
      <c r="B19" s="16" t="n">
        <f aca="false">Assumptions!$B$53*(1+Assumptions!$C$4)^0</f>
        <v>600000</v>
      </c>
      <c r="C19" s="16" t="n">
        <f aca="false">Assumptions!$C$53*(1+Assumptions!$C$4)^1</f>
        <v>0</v>
      </c>
      <c r="D19" s="16" t="n">
        <f aca="false">Assumptions!$D$53*(1+Assumptions!$C$4)^2</f>
        <v>0</v>
      </c>
      <c r="E19" s="17" t="n">
        <f aca="false">SUM(B19:D19)</f>
        <v>600000</v>
      </c>
      <c r="F19" s="3" t="s">
        <v>35</v>
      </c>
      <c r="G19" s="3" t="s">
        <v>136</v>
      </c>
    </row>
    <row r="20" customFormat="false" ht="15" hidden="false" customHeight="false" outlineLevel="0" collapsed="false">
      <c r="A20" s="3" t="s">
        <v>120</v>
      </c>
      <c r="B20" s="16" t="n">
        <f aca="false">Assumptions!$B$54*(1+Assumptions!$C$4)^0</f>
        <v>800000</v>
      </c>
      <c r="C20" s="16" t="n">
        <f aca="false">Assumptions!$C$54*(1+Assumptions!$C$4)^1</f>
        <v>864000</v>
      </c>
      <c r="D20" s="16" t="n">
        <f aca="false">Assumptions!$D$54*(1+Assumptions!$C$4)^2</f>
        <v>933120</v>
      </c>
      <c r="E20" s="17" t="n">
        <f aca="false">SUM(B20:D20)</f>
        <v>2597120</v>
      </c>
      <c r="F20" s="3" t="s">
        <v>35</v>
      </c>
      <c r="G20" s="3" t="s">
        <v>133</v>
      </c>
    </row>
    <row r="21" customFormat="false" ht="15" hidden="false" customHeight="false" outlineLevel="0" collapsed="false">
      <c r="A21" s="3" t="s">
        <v>143</v>
      </c>
      <c r="B21" s="16" t="n">
        <f aca="false">Assumptions!$B$55*(1+Assumptions!$C$4)^0</f>
        <v>0</v>
      </c>
      <c r="C21" s="16" t="n">
        <f aca="false">Assumptions!$C$55*(1+Assumptions!$C$4)^1</f>
        <v>0</v>
      </c>
      <c r="D21" s="16" t="n">
        <f aca="false">Assumptions!$D$55*(1+Assumptions!$C$4)^2</f>
        <v>2916000</v>
      </c>
      <c r="E21" s="17" t="n">
        <f aca="false">SUM(B21:D21)</f>
        <v>2916000</v>
      </c>
      <c r="F21" s="3" t="s">
        <v>35</v>
      </c>
      <c r="G21" s="3" t="s">
        <v>136</v>
      </c>
    </row>
    <row r="22" customFormat="false" ht="15" hidden="false" customHeight="false" outlineLevel="0" collapsed="false">
      <c r="A22" s="3" t="s">
        <v>144</v>
      </c>
      <c r="B22" s="16" t="n">
        <f aca="false">Assumptions!$B$56*(1+Assumptions!$C$4)^0</f>
        <v>0</v>
      </c>
      <c r="C22" s="16" t="n">
        <f aca="false">Assumptions!$C$56*(1+Assumptions!$C$4)^1</f>
        <v>2160000</v>
      </c>
      <c r="D22" s="16" t="n">
        <f aca="false">Assumptions!$D$56*(1+Assumptions!$C$4)^2</f>
        <v>0</v>
      </c>
      <c r="E22" s="17" t="n">
        <f aca="false">SUM(B22:D22)</f>
        <v>2160000</v>
      </c>
      <c r="F22" s="3" t="s">
        <v>35</v>
      </c>
      <c r="G22" s="3" t="s">
        <v>136</v>
      </c>
    </row>
    <row r="23" customFormat="false" ht="15" hidden="false" customHeight="false" outlineLevel="0" collapsed="false">
      <c r="A23" s="3" t="s">
        <v>145</v>
      </c>
      <c r="B23" s="16" t="n">
        <f aca="false">Assumptions!$B$57*(1+Assumptions!$C$4)^0</f>
        <v>800000</v>
      </c>
      <c r="C23" s="16" t="n">
        <f aca="false">Assumptions!$C$57*(1+Assumptions!$C$4)^1</f>
        <v>0</v>
      </c>
      <c r="D23" s="16" t="n">
        <f aca="false">Assumptions!$D$57*(1+Assumptions!$C$4)^2</f>
        <v>0</v>
      </c>
      <c r="E23" s="17" t="n">
        <f aca="false">SUM(B23:D23)</f>
        <v>800000</v>
      </c>
      <c r="F23" s="3" t="s">
        <v>35</v>
      </c>
      <c r="G23" s="3" t="s">
        <v>136</v>
      </c>
    </row>
    <row r="24" customFormat="false" ht="15" hidden="false" customHeight="false" outlineLevel="0" collapsed="false">
      <c r="A24" s="3" t="s">
        <v>124</v>
      </c>
      <c r="B24" s="16" t="n">
        <f aca="false">Assumptions!$B$58*(1+Assumptions!$C$4)^0</f>
        <v>600000</v>
      </c>
      <c r="C24" s="16" t="n">
        <f aca="false">Assumptions!$C$58*(1+Assumptions!$C$4)^1</f>
        <v>648000</v>
      </c>
      <c r="D24" s="16" t="n">
        <f aca="false">Assumptions!$D$58*(1+Assumptions!$C$4)^2</f>
        <v>699840</v>
      </c>
      <c r="E24" s="17" t="n">
        <f aca="false">SUM(B24:D24)</f>
        <v>1947840</v>
      </c>
      <c r="F24" s="3" t="s">
        <v>35</v>
      </c>
      <c r="G24" s="3" t="s">
        <v>133</v>
      </c>
    </row>
    <row r="26" customFormat="false" ht="15" hidden="false" customHeight="false" outlineLevel="0" collapsed="false">
      <c r="A26" s="2" t="s">
        <v>146</v>
      </c>
    </row>
    <row r="27" customFormat="false" ht="15" hidden="false" customHeight="false" outlineLevel="0" collapsed="false">
      <c r="A27" s="4" t="s">
        <v>147</v>
      </c>
      <c r="B27" s="4" t="s">
        <v>26</v>
      </c>
      <c r="C27" s="4" t="s">
        <v>27</v>
      </c>
      <c r="D27" s="4" t="s">
        <v>28</v>
      </c>
      <c r="E27" s="4" t="s">
        <v>29</v>
      </c>
      <c r="F27" s="4" t="s">
        <v>148</v>
      </c>
    </row>
    <row r="28" customFormat="false" ht="15" hidden="false" customHeight="false" outlineLevel="0" collapsed="false">
      <c r="A28" s="3" t="s">
        <v>30</v>
      </c>
      <c r="B28" s="17" t="n">
        <f aca="false">SUM(B3)</f>
        <v>13657500</v>
      </c>
      <c r="C28" s="17" t="n">
        <f aca="false">SUM(C3)</f>
        <v>31104000</v>
      </c>
      <c r="D28" s="17" t="n">
        <f aca="false">SUM(D3)</f>
        <v>41360544</v>
      </c>
      <c r="E28" s="17" t="n">
        <f aca="false">SUM(E3)</f>
        <v>86122044</v>
      </c>
      <c r="F28" s="18" t="n">
        <f aca="false">IF($E$37=0,0,E28/$E$37)</f>
        <v>0.421620973716482</v>
      </c>
    </row>
    <row r="29" customFormat="false" ht="15" hidden="false" customHeight="false" outlineLevel="0" collapsed="false">
      <c r="A29" s="3" t="s">
        <v>31</v>
      </c>
      <c r="B29" s="17" t="n">
        <f aca="false">SUM(B4,B5)</f>
        <v>4080000</v>
      </c>
      <c r="C29" s="17" t="n">
        <f aca="false">SUM(C4,C5)</f>
        <v>6696000</v>
      </c>
      <c r="D29" s="17" t="n">
        <f aca="false">SUM(D4,D5)</f>
        <v>8351424</v>
      </c>
      <c r="E29" s="17" t="n">
        <f aca="false">SUM(E4,E5)</f>
        <v>19127424</v>
      </c>
      <c r="F29" s="18" t="n">
        <f aca="false">IF($E$37=0,0,E29/$E$37)</f>
        <v>0.0936406378321443</v>
      </c>
    </row>
    <row r="30" customFormat="false" ht="15" hidden="false" customHeight="false" outlineLevel="0" collapsed="false">
      <c r="A30" s="3" t="s">
        <v>32</v>
      </c>
      <c r="B30" s="17" t="n">
        <f aca="false">SUM(B6,B7,B8,B9)</f>
        <v>13908000</v>
      </c>
      <c r="C30" s="17" t="n">
        <f aca="false">SUM(C6,C7,C8,C9)</f>
        <v>13624000</v>
      </c>
      <c r="D30" s="17" t="n">
        <f aca="false">SUM(D6,D7,D8,D9)</f>
        <v>7408320</v>
      </c>
      <c r="E30" s="17" t="n">
        <f aca="false">SUM(E6,E7,E8,E9)</f>
        <v>34940320</v>
      </c>
      <c r="F30" s="18" t="n">
        <f aca="false">IF($E$37=0,0,E30/$E$37)</f>
        <v>0.171054599451512</v>
      </c>
    </row>
    <row r="31" customFormat="false" ht="15" hidden="false" customHeight="false" outlineLevel="0" collapsed="false">
      <c r="A31" s="3" t="s">
        <v>33</v>
      </c>
      <c r="B31" s="17" t="n">
        <f aca="false">SUM(B10,B11,B12,B13,B14)</f>
        <v>4070000</v>
      </c>
      <c r="C31" s="17" t="n">
        <f aca="false">SUM(C10,C11,C12,C13,C14)</f>
        <v>5248800</v>
      </c>
      <c r="D31" s="17" t="n">
        <f aca="false">SUM(D10,D11,D12,D13,D14)</f>
        <v>4607280</v>
      </c>
      <c r="E31" s="17" t="n">
        <f aca="false">SUM(E10,E11,E12,E13,E14)</f>
        <v>13926080</v>
      </c>
      <c r="F31" s="18" t="n">
        <f aca="false">IF($E$37=0,0,E31/$E$37)</f>
        <v>0.0681768236905016</v>
      </c>
    </row>
    <row r="32" customFormat="false" ht="15" hidden="false" customHeight="false" outlineLevel="0" collapsed="false">
      <c r="A32" s="3" t="s">
        <v>34</v>
      </c>
      <c r="B32" s="17" t="n">
        <f aca="false">SUM(B15,B16,B17)</f>
        <v>2300000</v>
      </c>
      <c r="C32" s="17" t="n">
        <f aca="false">SUM(C15,C16,C17)</f>
        <v>4428000</v>
      </c>
      <c r="D32" s="17" t="n">
        <f aca="false">SUM(D15,D16,D17)</f>
        <v>4782240</v>
      </c>
      <c r="E32" s="17" t="n">
        <f aca="false">SUM(E15,E16,E17)</f>
        <v>11510240</v>
      </c>
      <c r="F32" s="18" t="n">
        <f aca="false">IF($E$37=0,0,E32/$E$37)</f>
        <v>0.0563497842260966</v>
      </c>
    </row>
    <row r="33" customFormat="false" ht="15" hidden="false" customHeight="false" outlineLevel="0" collapsed="false">
      <c r="A33" s="3" t="s">
        <v>35</v>
      </c>
      <c r="B33" s="17" t="n">
        <f aca="false">SUM(B18,B19,B20,B21,B22,B23,B24)</f>
        <v>3100000</v>
      </c>
      <c r="C33" s="17" t="n">
        <f aca="false">SUM(C18,C19,C20,C21,C22,C23,C24)</f>
        <v>3996000</v>
      </c>
      <c r="D33" s="17" t="n">
        <f aca="false">SUM(D18,D19,D20,D21,D22,D23,D24)</f>
        <v>4898880</v>
      </c>
      <c r="E33" s="17" t="n">
        <f aca="false">SUM(E18,E19,E20,E21,E22,E23,E24)</f>
        <v>11994880</v>
      </c>
      <c r="F33" s="18" t="n">
        <f aca="false">IF($E$37=0,0,E33/$E$37)</f>
        <v>0.0587223984745688</v>
      </c>
    </row>
    <row r="34" customFormat="false" ht="15" hidden="false" customHeight="false" outlineLevel="0" collapsed="false">
      <c r="A34" s="2" t="s">
        <v>149</v>
      </c>
      <c r="B34" s="19" t="n">
        <f aca="false">SUM(B28:B33)</f>
        <v>41115500</v>
      </c>
      <c r="C34" s="19" t="n">
        <f aca="false">SUM(C28:C33)</f>
        <v>65096800</v>
      </c>
      <c r="D34" s="19" t="n">
        <f aca="false">SUM(D28:D33)</f>
        <v>71408688</v>
      </c>
      <c r="E34" s="19" t="n">
        <f aca="false">SUM(E28:E33)</f>
        <v>177620988</v>
      </c>
      <c r="F34" s="18" t="n">
        <f aca="false">IF($E$37=0,0,E34/$E$37)</f>
        <v>0.869565217391304</v>
      </c>
    </row>
    <row r="35" customFormat="false" ht="15" hidden="false" customHeight="false" outlineLevel="0" collapsed="false">
      <c r="A35" s="3" t="s">
        <v>36</v>
      </c>
      <c r="B35" s="16" t="n">
        <f aca="false">B34*Assumptions!$C$8</f>
        <v>4111550</v>
      </c>
      <c r="C35" s="16" t="n">
        <f aca="false">C34*Assumptions!$C$8</f>
        <v>6509680</v>
      </c>
      <c r="D35" s="16" t="n">
        <f aca="false">D34*Assumptions!$C$8</f>
        <v>7140868.8</v>
      </c>
      <c r="E35" s="20" t="n">
        <f aca="false">SUM(B35:D35)</f>
        <v>17762098.8</v>
      </c>
      <c r="F35" s="18" t="n">
        <f aca="false">IF($E$37=0,0,E35/$E$37)</f>
        <v>0.0869565217391304</v>
      </c>
    </row>
    <row r="36" customFormat="false" ht="15" hidden="false" customHeight="false" outlineLevel="0" collapsed="false">
      <c r="A36" s="3" t="s">
        <v>37</v>
      </c>
      <c r="B36" s="16" t="n">
        <f aca="false">B34*Assumptions!$C$9</f>
        <v>2055775</v>
      </c>
      <c r="C36" s="16" t="n">
        <f aca="false">C34*Assumptions!$C$9</f>
        <v>3254840</v>
      </c>
      <c r="D36" s="16" t="n">
        <f aca="false">D34*Assumptions!$C$9</f>
        <v>3570434.4</v>
      </c>
      <c r="E36" s="20" t="n">
        <f aca="false">SUM(B36:D36)</f>
        <v>8881049.4</v>
      </c>
      <c r="F36" s="18" t="n">
        <f aca="false">IF($E$37=0,0,E36/$E$37)</f>
        <v>0.0434782608695652</v>
      </c>
    </row>
    <row r="37" customFormat="false" ht="15" hidden="false" customHeight="false" outlineLevel="0" collapsed="false">
      <c r="A37" s="2" t="s">
        <v>29</v>
      </c>
      <c r="B37" s="19" t="n">
        <f aca="false">B34+B35+B36</f>
        <v>47282825</v>
      </c>
      <c r="C37" s="19" t="n">
        <f aca="false">C34+C35+C36</f>
        <v>74861320</v>
      </c>
      <c r="D37" s="19" t="n">
        <f aca="false">D34+D35+D36</f>
        <v>82119991.2</v>
      </c>
      <c r="E37" s="19" t="n">
        <f aca="false">E34+E35+E36</f>
        <v>204264136.2</v>
      </c>
      <c r="F37" s="18" t="n">
        <f aca="false">IF($E$37=0,0,E37/$E$37)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4" min="2" style="0" width="16"/>
    <col collapsed="false" customWidth="true" hidden="false" outlineLevel="0" max="5" min="5" style="0" width="17"/>
    <col collapsed="false" customWidth="true" hidden="false" outlineLevel="0" max="6" min="6" style="0" width="34"/>
    <col collapsed="false" customWidth="true" hidden="false" outlineLevel="0" max="7" min="7" style="0" width="10"/>
  </cols>
  <sheetData>
    <row r="1" customFormat="false" ht="16.15" hidden="false" customHeight="false" outlineLevel="0" collapsed="false">
      <c r="A1" s="1" t="s">
        <v>151</v>
      </c>
    </row>
    <row r="2" customFormat="false" ht="15" hidden="false" customHeight="false" outlineLevel="0" collapsed="false">
      <c r="A2" s="4" t="s">
        <v>129</v>
      </c>
      <c r="B2" s="4" t="s">
        <v>26</v>
      </c>
      <c r="C2" s="4" t="s">
        <v>27</v>
      </c>
      <c r="D2" s="4" t="s">
        <v>28</v>
      </c>
      <c r="E2" s="4" t="s">
        <v>29</v>
      </c>
      <c r="F2" s="4" t="s">
        <v>130</v>
      </c>
      <c r="G2" s="4" t="s">
        <v>131</v>
      </c>
    </row>
    <row r="3" customFormat="false" ht="15" hidden="false" customHeight="false" outlineLevel="0" collapsed="false">
      <c r="A3" s="3" t="s">
        <v>132</v>
      </c>
      <c r="B3" s="16" t="n">
        <f aca="false">(Assumptions!$B$16*12*Assumptions!$B$26+Assumptions!$B$17*12*Assumptions!$B$27+Assumptions!$B$18*12*Assumptions!$B$28+Assumptions!$B$19*12*Assumptions!$B$29+Assumptions!$B$20*12*Assumptions!$B$30+Assumptions!$B$21*12*Assumptions!$B$31+Assumptions!$B$22*12*Assumptions!$B$32+Assumptions!$B$23*12*Assumptions!$B$33+Assumptions!$B$24*12*Assumptions!$B$34+Assumptions!$B$25*12*Assumptions!$B$35)*Assumptions!$D$6*(1+Assumptions!$D$4)^0*Assumptions!$D$5</f>
        <v>13657500</v>
      </c>
      <c r="C3" s="16" t="n">
        <f aca="false">(Assumptions!$B$16*12*Assumptions!$C$26+Assumptions!$B$17*12*Assumptions!$C$27+Assumptions!$B$18*12*Assumptions!$C$28+Assumptions!$B$19*12*Assumptions!$C$29+Assumptions!$B$20*12*Assumptions!$C$30+Assumptions!$B$21*12*Assumptions!$C$31+Assumptions!$B$22*12*Assumptions!$C$32+Assumptions!$B$23*12*Assumptions!$C$33+Assumptions!$B$24*12*Assumptions!$C$34+Assumptions!$B$25*12*Assumptions!$C$35)*Assumptions!$D$6*(1+Assumptions!$D$4)^1</f>
        <v>31104000</v>
      </c>
      <c r="D3" s="16" t="n">
        <f aca="false">(Assumptions!$B$16*12*Assumptions!$D$26+Assumptions!$B$17*12*Assumptions!$D$27+Assumptions!$B$18*12*Assumptions!$D$28+Assumptions!$B$19*12*Assumptions!$D$29+Assumptions!$B$20*12*Assumptions!$D$30+Assumptions!$B$21*12*Assumptions!$D$31+Assumptions!$B$22*12*Assumptions!$D$32+Assumptions!$B$23*12*Assumptions!$D$33+Assumptions!$B$24*12*Assumptions!$D$34+Assumptions!$B$25*12*Assumptions!$D$35)*Assumptions!$D$6*(1+Assumptions!$D$4)^2</f>
        <v>41360544</v>
      </c>
      <c r="E3" s="17" t="n">
        <f aca="false">SUM(B3:D3)</f>
        <v>86122044</v>
      </c>
      <c r="F3" s="3" t="s">
        <v>30</v>
      </c>
      <c r="G3" s="3" t="s">
        <v>133</v>
      </c>
    </row>
    <row r="4" customFormat="false" ht="15" hidden="false" customHeight="false" outlineLevel="0" collapsed="false">
      <c r="A4" s="3" t="s">
        <v>95</v>
      </c>
      <c r="B4" s="16" t="n">
        <f aca="false">Assumptions!$B$36*(1+Assumptions!$D$4)^0</f>
        <v>1200000</v>
      </c>
      <c r="C4" s="16" t="n">
        <f aca="false">Assumptions!$C$36*(1+Assumptions!$D$4)^1</f>
        <v>1512000</v>
      </c>
      <c r="D4" s="16" t="n">
        <f aca="false">Assumptions!$D$36*(1+Assumptions!$D$4)^2</f>
        <v>1632960</v>
      </c>
      <c r="E4" s="17" t="n">
        <f aca="false">SUM(B4:D4)</f>
        <v>4344960</v>
      </c>
      <c r="F4" s="3" t="s">
        <v>31</v>
      </c>
      <c r="G4" s="3" t="s">
        <v>133</v>
      </c>
    </row>
    <row r="5" customFormat="false" ht="15" hidden="false" customHeight="false" outlineLevel="0" collapsed="false">
      <c r="A5" s="3" t="s">
        <v>134</v>
      </c>
      <c r="B5" s="16" t="n">
        <f aca="false">Assumptions!$B$37*Assumptions!$B$38*12*(1+Assumptions!$D$4)^0</f>
        <v>2880000</v>
      </c>
      <c r="C5" s="16" t="n">
        <f aca="false">Assumptions!$C$37*Assumptions!$B$38*12*(1+Assumptions!$D$4)^1</f>
        <v>5184000</v>
      </c>
      <c r="D5" s="16" t="n">
        <f aca="false">Assumptions!$D$37*Assumptions!$B$38*12*(1+Assumptions!$D$4)^2</f>
        <v>6718464</v>
      </c>
      <c r="E5" s="17" t="n">
        <f aca="false">SUM(B5:D5)</f>
        <v>14782464</v>
      </c>
      <c r="F5" s="3" t="s">
        <v>31</v>
      </c>
      <c r="G5" s="3" t="s">
        <v>133</v>
      </c>
    </row>
    <row r="6" customFormat="false" ht="15" hidden="false" customHeight="false" outlineLevel="0" collapsed="false">
      <c r="A6" s="3" t="s">
        <v>135</v>
      </c>
      <c r="B6" s="16" t="n">
        <f aca="false">Assumptions!$B$39*Assumptions!$D$7*Assumptions!$D$3</f>
        <v>11408000</v>
      </c>
      <c r="C6" s="16" t="n">
        <f aca="false">Assumptions!$C$39*Assumptions!$D$7*Assumptions!$D$3</f>
        <v>10168000</v>
      </c>
      <c r="D6" s="16" t="n">
        <f aca="false">Assumptions!$D$39*Assumptions!$D$7*Assumptions!$D$3</f>
        <v>2976000</v>
      </c>
      <c r="E6" s="17" t="n">
        <f aca="false">SUM(B6:D6)</f>
        <v>24552000</v>
      </c>
      <c r="F6" s="3" t="s">
        <v>32</v>
      </c>
      <c r="G6" s="3" t="s">
        <v>136</v>
      </c>
    </row>
    <row r="7" customFormat="false" ht="15" hidden="false" customHeight="false" outlineLevel="0" collapsed="false">
      <c r="A7" s="3" t="s">
        <v>103</v>
      </c>
      <c r="B7" s="16" t="n">
        <f aca="false">Assumptions!$B$40*(1+Assumptions!$D$4)^0</f>
        <v>2500000</v>
      </c>
      <c r="C7" s="16" t="n">
        <f aca="false">Assumptions!$C$40*(1+Assumptions!$D$4)^1</f>
        <v>3456000</v>
      </c>
      <c r="D7" s="16" t="n">
        <f aca="false">Assumptions!$D$40*(1+Assumptions!$D$4)^2</f>
        <v>4432320</v>
      </c>
      <c r="E7" s="17" t="n">
        <f aca="false">SUM(B7:D7)</f>
        <v>10388320</v>
      </c>
      <c r="F7" s="3" t="s">
        <v>32</v>
      </c>
      <c r="G7" s="3" t="s">
        <v>133</v>
      </c>
    </row>
    <row r="8" customFormat="false" ht="15" hidden="false" customHeight="false" outlineLevel="0" collapsed="false">
      <c r="A8" s="3" t="s">
        <v>137</v>
      </c>
      <c r="B8" s="16" t="n">
        <f aca="false">0</f>
        <v>0</v>
      </c>
      <c r="C8" s="16" t="n">
        <f aca="false">Assumptions!$D$10*Assumptions!$D$3</f>
        <v>0</v>
      </c>
      <c r="D8" s="16" t="n">
        <f aca="false">0</f>
        <v>0</v>
      </c>
      <c r="E8" s="17" t="n">
        <f aca="false">SUM(B8:D8)</f>
        <v>0</v>
      </c>
      <c r="F8" s="3" t="s">
        <v>32</v>
      </c>
      <c r="G8" s="3" t="s">
        <v>136</v>
      </c>
    </row>
    <row r="9" customFormat="false" ht="15" hidden="false" customHeight="false" outlineLevel="0" collapsed="false">
      <c r="A9" s="3" t="s">
        <v>138</v>
      </c>
      <c r="B9" s="16" t="n">
        <f aca="false">Assumptions!$D$11*Assumptions!$B$60*Assumptions!$B$61*Assumptions!$D$3</f>
        <v>1488000</v>
      </c>
      <c r="C9" s="16" t="n">
        <f aca="false">Assumptions!$D$11*Assumptions!$C$60*Assumptions!$B$61*Assumptions!$D$3</f>
        <v>744000</v>
      </c>
      <c r="D9" s="16" t="n">
        <f aca="false">Assumptions!$D$11*Assumptions!$D$60*Assumptions!$B$61*Assumptions!$D$3</f>
        <v>595200</v>
      </c>
      <c r="E9" s="17" t="n">
        <f aca="false">SUM(B9:D9)</f>
        <v>2827200</v>
      </c>
      <c r="F9" s="3" t="s">
        <v>32</v>
      </c>
      <c r="G9" s="3" t="s">
        <v>136</v>
      </c>
    </row>
    <row r="10" customFormat="false" ht="15" hidden="false" customHeight="false" outlineLevel="0" collapsed="false">
      <c r="A10" s="3" t="s">
        <v>139</v>
      </c>
      <c r="B10" s="16" t="n">
        <f aca="false">Assumptions!$B$41*Assumptions!$B$42*(1+Assumptions!$D$4)^0</f>
        <v>1250000</v>
      </c>
      <c r="C10" s="16" t="n">
        <f aca="false">Assumptions!$C$41*Assumptions!$B$42*(1+Assumptions!$D$4)^1</f>
        <v>2160000</v>
      </c>
      <c r="D10" s="16" t="n">
        <f aca="false">Assumptions!$D$41*Assumptions!$B$42*(1+Assumptions!$D$4)^2</f>
        <v>2041200</v>
      </c>
      <c r="E10" s="17" t="n">
        <f aca="false">SUM(B10:D10)</f>
        <v>5451200</v>
      </c>
      <c r="F10" s="3" t="s">
        <v>33</v>
      </c>
      <c r="G10" s="3" t="s">
        <v>136</v>
      </c>
    </row>
    <row r="11" customFormat="false" ht="15" hidden="false" customHeight="false" outlineLevel="0" collapsed="false">
      <c r="A11" s="3" t="s">
        <v>108</v>
      </c>
      <c r="B11" s="16" t="n">
        <f aca="false">Assumptions!$B$43*Assumptions!$B$44*(1+Assumptions!$D$4)^0</f>
        <v>120000</v>
      </c>
      <c r="C11" s="16" t="n">
        <f aca="false">Assumptions!$C$43*Assumptions!$B$44*(1+Assumptions!$D$4)^1</f>
        <v>64800</v>
      </c>
      <c r="D11" s="16" t="n">
        <f aca="false">Assumptions!$D$43*Assumptions!$B$44*(1+Assumptions!$D$4)^2</f>
        <v>0</v>
      </c>
      <c r="E11" s="17" t="n">
        <f aca="false">SUM(B11:D11)</f>
        <v>184800</v>
      </c>
      <c r="F11" s="3" t="s">
        <v>33</v>
      </c>
      <c r="G11" s="3" t="s">
        <v>136</v>
      </c>
    </row>
    <row r="12" customFormat="false" ht="15" hidden="false" customHeight="false" outlineLevel="0" collapsed="false">
      <c r="A12" s="3" t="s">
        <v>110</v>
      </c>
      <c r="B12" s="16" t="n">
        <f aca="false">Assumptions!$B$45*Assumptions!$B$46*(1+Assumptions!$D$4)^0</f>
        <v>200000</v>
      </c>
      <c r="C12" s="16" t="n">
        <f aca="false">Assumptions!$C$45*Assumptions!$B$46*(1+Assumptions!$D$4)^1</f>
        <v>432000</v>
      </c>
      <c r="D12" s="16" t="n">
        <f aca="false">Assumptions!$D$45*Assumptions!$B$46*(1+Assumptions!$D$4)^2</f>
        <v>466560</v>
      </c>
      <c r="E12" s="17" t="n">
        <f aca="false">SUM(B12:D12)</f>
        <v>1098560</v>
      </c>
      <c r="F12" s="3" t="s">
        <v>33</v>
      </c>
      <c r="G12" s="3" t="s">
        <v>133</v>
      </c>
    </row>
    <row r="13" customFormat="false" ht="15" hidden="false" customHeight="false" outlineLevel="0" collapsed="false">
      <c r="A13" s="3" t="s">
        <v>113</v>
      </c>
      <c r="B13" s="16" t="n">
        <f aca="false">Assumptions!$B$47*(1+Assumptions!$D$4)^0</f>
        <v>2000000</v>
      </c>
      <c r="C13" s="16" t="n">
        <f aca="false">Assumptions!$C$47*(1+Assumptions!$D$4)^1</f>
        <v>2160000</v>
      </c>
      <c r="D13" s="16" t="n">
        <f aca="false">Assumptions!$D$47*(1+Assumptions!$D$4)^2</f>
        <v>1749600</v>
      </c>
      <c r="E13" s="17" t="n">
        <f aca="false">SUM(B13:D13)</f>
        <v>5909600</v>
      </c>
      <c r="F13" s="3" t="s">
        <v>33</v>
      </c>
      <c r="G13" s="3" t="s">
        <v>133</v>
      </c>
    </row>
    <row r="14" customFormat="false" ht="15" hidden="false" customHeight="false" outlineLevel="0" collapsed="false">
      <c r="A14" s="3" t="s">
        <v>114</v>
      </c>
      <c r="B14" s="16" t="n">
        <f aca="false">Assumptions!$B$48*(1+Assumptions!$D$4)^0</f>
        <v>500000</v>
      </c>
      <c r="C14" s="16" t="n">
        <f aca="false">Assumptions!$C$48*(1+Assumptions!$D$4)^1</f>
        <v>432000</v>
      </c>
      <c r="D14" s="16" t="n">
        <f aca="false">Assumptions!$D$48*(1+Assumptions!$D$4)^2</f>
        <v>349920</v>
      </c>
      <c r="E14" s="17" t="n">
        <f aca="false">SUM(B14:D14)</f>
        <v>1281920</v>
      </c>
      <c r="F14" s="3" t="s">
        <v>33</v>
      </c>
      <c r="G14" s="3" t="s">
        <v>133</v>
      </c>
    </row>
    <row r="15" customFormat="false" ht="15" hidden="false" customHeight="false" outlineLevel="0" collapsed="false">
      <c r="A15" s="3" t="s">
        <v>140</v>
      </c>
      <c r="B15" s="16" t="n">
        <f aca="false">Assumptions!$B$49*Assumptions!$B$50*(1+Assumptions!$D$4)^0</f>
        <v>1500000</v>
      </c>
      <c r="C15" s="16" t="n">
        <f aca="false">Assumptions!$C$49*Assumptions!$B$50*(1+Assumptions!$D$4)^1</f>
        <v>3240000</v>
      </c>
      <c r="D15" s="16" t="n">
        <f aca="false">Assumptions!$D$49*Assumptions!$B$50*(1+Assumptions!$D$4)^2</f>
        <v>3499200</v>
      </c>
      <c r="E15" s="17" t="n">
        <f aca="false">SUM(B15:D15)</f>
        <v>8239200</v>
      </c>
      <c r="F15" s="3" t="s">
        <v>34</v>
      </c>
      <c r="G15" s="3" t="s">
        <v>133</v>
      </c>
    </row>
    <row r="16" customFormat="false" ht="15" hidden="false" customHeight="false" outlineLevel="0" collapsed="false">
      <c r="A16" s="3" t="s">
        <v>117</v>
      </c>
      <c r="B16" s="16" t="n">
        <f aca="false">Assumptions!$B$51*(1+Assumptions!$D$4)^0</f>
        <v>800000</v>
      </c>
      <c r="C16" s="16" t="n">
        <f aca="false">Assumptions!$C$51*(1+Assumptions!$D$4)^1</f>
        <v>1188000</v>
      </c>
      <c r="D16" s="16" t="n">
        <f aca="false">Assumptions!$D$51*(1+Assumptions!$D$4)^2</f>
        <v>1283040</v>
      </c>
      <c r="E16" s="17" t="n">
        <f aca="false">SUM(B16:D16)</f>
        <v>3271040</v>
      </c>
      <c r="F16" s="3" t="s">
        <v>34</v>
      </c>
      <c r="G16" s="3" t="s">
        <v>133</v>
      </c>
    </row>
    <row r="17" customFormat="false" ht="15" hidden="false" customHeight="false" outlineLevel="0" collapsed="false">
      <c r="A17" s="3" t="s">
        <v>141</v>
      </c>
      <c r="B17" s="16" t="n">
        <f aca="false">Assumptions!$D$11*Assumptions!$B$59*(1+Assumptions!$D$4)^0</f>
        <v>1500000</v>
      </c>
      <c r="C17" s="16" t="n">
        <f aca="false">Assumptions!$D$11*Assumptions!$B$59*(1+Assumptions!$D$4)^1</f>
        <v>1620000</v>
      </c>
      <c r="D17" s="16" t="n">
        <f aca="false">Assumptions!$D$11*Assumptions!$B$59*(1+Assumptions!$D$4)^2</f>
        <v>1749600</v>
      </c>
      <c r="E17" s="17" t="n">
        <f aca="false">SUM(B17:D17)</f>
        <v>4869600</v>
      </c>
      <c r="F17" s="3" t="s">
        <v>34</v>
      </c>
      <c r="G17" s="3" t="s">
        <v>133</v>
      </c>
    </row>
    <row r="18" customFormat="false" ht="15" hidden="false" customHeight="false" outlineLevel="0" collapsed="false">
      <c r="A18" s="3" t="s">
        <v>118</v>
      </c>
      <c r="B18" s="16" t="n">
        <f aca="false">Assumptions!$B$52*(1+Assumptions!$D$4)^0</f>
        <v>300000</v>
      </c>
      <c r="C18" s="16" t="n">
        <f aca="false">Assumptions!$C$52*(1+Assumptions!$D$4)^1</f>
        <v>324000</v>
      </c>
      <c r="D18" s="16" t="n">
        <f aca="false">Assumptions!$D$52*(1+Assumptions!$D$4)^2</f>
        <v>349920</v>
      </c>
      <c r="E18" s="17" t="n">
        <f aca="false">SUM(B18:D18)</f>
        <v>973920</v>
      </c>
      <c r="F18" s="3" t="s">
        <v>35</v>
      </c>
      <c r="G18" s="3" t="s">
        <v>133</v>
      </c>
    </row>
    <row r="19" customFormat="false" ht="15" hidden="false" customHeight="false" outlineLevel="0" collapsed="false">
      <c r="A19" s="3" t="s">
        <v>142</v>
      </c>
      <c r="B19" s="16" t="n">
        <f aca="false">Assumptions!$B$53*(1+Assumptions!$D$4)^0</f>
        <v>600000</v>
      </c>
      <c r="C19" s="16" t="n">
        <f aca="false">Assumptions!$C$53*(1+Assumptions!$D$4)^1</f>
        <v>0</v>
      </c>
      <c r="D19" s="16" t="n">
        <f aca="false">Assumptions!$D$53*(1+Assumptions!$D$4)^2</f>
        <v>0</v>
      </c>
      <c r="E19" s="17" t="n">
        <f aca="false">SUM(B19:D19)</f>
        <v>600000</v>
      </c>
      <c r="F19" s="3" t="s">
        <v>35</v>
      </c>
      <c r="G19" s="3" t="s">
        <v>136</v>
      </c>
    </row>
    <row r="20" customFormat="false" ht="15" hidden="false" customHeight="false" outlineLevel="0" collapsed="false">
      <c r="A20" s="3" t="s">
        <v>120</v>
      </c>
      <c r="B20" s="16" t="n">
        <f aca="false">Assumptions!$B$54*(1+Assumptions!$D$4)^0</f>
        <v>800000</v>
      </c>
      <c r="C20" s="16" t="n">
        <f aca="false">Assumptions!$C$54*(1+Assumptions!$D$4)^1</f>
        <v>864000</v>
      </c>
      <c r="D20" s="16" t="n">
        <f aca="false">Assumptions!$D$54*(1+Assumptions!$D$4)^2</f>
        <v>933120</v>
      </c>
      <c r="E20" s="17" t="n">
        <f aca="false">SUM(B20:D20)</f>
        <v>2597120</v>
      </c>
      <c r="F20" s="3" t="s">
        <v>35</v>
      </c>
      <c r="G20" s="3" t="s">
        <v>133</v>
      </c>
    </row>
    <row r="21" customFormat="false" ht="15" hidden="false" customHeight="false" outlineLevel="0" collapsed="false">
      <c r="A21" s="3" t="s">
        <v>143</v>
      </c>
      <c r="B21" s="16" t="n">
        <f aca="false">Assumptions!$B$55*(1+Assumptions!$D$4)^0</f>
        <v>0</v>
      </c>
      <c r="C21" s="16" t="n">
        <f aca="false">Assumptions!$C$55*(1+Assumptions!$D$4)^1</f>
        <v>0</v>
      </c>
      <c r="D21" s="16" t="n">
        <f aca="false">Assumptions!$D$55*(1+Assumptions!$D$4)^2</f>
        <v>2916000</v>
      </c>
      <c r="E21" s="17" t="n">
        <f aca="false">SUM(B21:D21)</f>
        <v>2916000</v>
      </c>
      <c r="F21" s="3" t="s">
        <v>35</v>
      </c>
      <c r="G21" s="3" t="s">
        <v>136</v>
      </c>
    </row>
    <row r="22" customFormat="false" ht="15" hidden="false" customHeight="false" outlineLevel="0" collapsed="false">
      <c r="A22" s="3" t="s">
        <v>144</v>
      </c>
      <c r="B22" s="16" t="n">
        <f aca="false">Assumptions!$B$56*(1+Assumptions!$D$4)^0</f>
        <v>0</v>
      </c>
      <c r="C22" s="16" t="n">
        <f aca="false">Assumptions!$C$56*(1+Assumptions!$D$4)^1</f>
        <v>2160000</v>
      </c>
      <c r="D22" s="16" t="n">
        <f aca="false">Assumptions!$D$56*(1+Assumptions!$D$4)^2</f>
        <v>0</v>
      </c>
      <c r="E22" s="17" t="n">
        <f aca="false">SUM(B22:D22)</f>
        <v>2160000</v>
      </c>
      <c r="F22" s="3" t="s">
        <v>35</v>
      </c>
      <c r="G22" s="3" t="s">
        <v>136</v>
      </c>
    </row>
    <row r="23" customFormat="false" ht="15" hidden="false" customHeight="false" outlineLevel="0" collapsed="false">
      <c r="A23" s="3" t="s">
        <v>145</v>
      </c>
      <c r="B23" s="16" t="n">
        <f aca="false">Assumptions!$B$57*(1+Assumptions!$D$4)^0</f>
        <v>800000</v>
      </c>
      <c r="C23" s="16" t="n">
        <f aca="false">Assumptions!$C$57*(1+Assumptions!$D$4)^1</f>
        <v>0</v>
      </c>
      <c r="D23" s="16" t="n">
        <f aca="false">Assumptions!$D$57*(1+Assumptions!$D$4)^2</f>
        <v>0</v>
      </c>
      <c r="E23" s="17" t="n">
        <f aca="false">SUM(B23:D23)</f>
        <v>800000</v>
      </c>
      <c r="F23" s="3" t="s">
        <v>35</v>
      </c>
      <c r="G23" s="3" t="s">
        <v>136</v>
      </c>
    </row>
    <row r="24" customFormat="false" ht="15" hidden="false" customHeight="false" outlineLevel="0" collapsed="false">
      <c r="A24" s="3" t="s">
        <v>124</v>
      </c>
      <c r="B24" s="16" t="n">
        <f aca="false">Assumptions!$B$58*(1+Assumptions!$D$4)^0</f>
        <v>600000</v>
      </c>
      <c r="C24" s="16" t="n">
        <f aca="false">Assumptions!$C$58*(1+Assumptions!$D$4)^1</f>
        <v>648000</v>
      </c>
      <c r="D24" s="16" t="n">
        <f aca="false">Assumptions!$D$58*(1+Assumptions!$D$4)^2</f>
        <v>699840</v>
      </c>
      <c r="E24" s="17" t="n">
        <f aca="false">SUM(B24:D24)</f>
        <v>1947840</v>
      </c>
      <c r="F24" s="3" t="s">
        <v>35</v>
      </c>
      <c r="G24" s="3" t="s">
        <v>133</v>
      </c>
    </row>
    <row r="26" customFormat="false" ht="15" hidden="false" customHeight="false" outlineLevel="0" collapsed="false">
      <c r="A26" s="2" t="s">
        <v>146</v>
      </c>
    </row>
    <row r="27" customFormat="false" ht="15" hidden="false" customHeight="false" outlineLevel="0" collapsed="false">
      <c r="A27" s="4" t="s">
        <v>147</v>
      </c>
      <c r="B27" s="4" t="s">
        <v>26</v>
      </c>
      <c r="C27" s="4" t="s">
        <v>27</v>
      </c>
      <c r="D27" s="4" t="s">
        <v>28</v>
      </c>
      <c r="E27" s="4" t="s">
        <v>29</v>
      </c>
      <c r="F27" s="4" t="s">
        <v>148</v>
      </c>
    </row>
    <row r="28" customFormat="false" ht="15" hidden="false" customHeight="false" outlineLevel="0" collapsed="false">
      <c r="A28" s="3" t="s">
        <v>30</v>
      </c>
      <c r="B28" s="17" t="n">
        <f aca="false">SUM(B3)</f>
        <v>13657500</v>
      </c>
      <c r="C28" s="17" t="n">
        <f aca="false">SUM(C3)</f>
        <v>31104000</v>
      </c>
      <c r="D28" s="17" t="n">
        <f aca="false">SUM(D3)</f>
        <v>41360544</v>
      </c>
      <c r="E28" s="17" t="n">
        <f aca="false">SUM(E3)</f>
        <v>86122044</v>
      </c>
      <c r="F28" s="18" t="n">
        <f aca="false">IF($E$37=0,0,E28/$E$37)</f>
        <v>0.387271889949388</v>
      </c>
    </row>
    <row r="29" customFormat="false" ht="15" hidden="false" customHeight="false" outlineLevel="0" collapsed="false">
      <c r="A29" s="3" t="s">
        <v>31</v>
      </c>
      <c r="B29" s="17" t="n">
        <f aca="false">SUM(B4,B5)</f>
        <v>4080000</v>
      </c>
      <c r="C29" s="17" t="n">
        <f aca="false">SUM(C4,C5)</f>
        <v>6696000</v>
      </c>
      <c r="D29" s="17" t="n">
        <f aca="false">SUM(D4,D5)</f>
        <v>8351424</v>
      </c>
      <c r="E29" s="17" t="n">
        <f aca="false">SUM(E4,E5)</f>
        <v>19127424</v>
      </c>
      <c r="F29" s="18" t="n">
        <f aca="false">IF($E$37=0,0,E29/$E$37)</f>
        <v>0.086011818789894</v>
      </c>
    </row>
    <row r="30" customFormat="false" ht="15" hidden="false" customHeight="false" outlineLevel="0" collapsed="false">
      <c r="A30" s="3" t="s">
        <v>32</v>
      </c>
      <c r="B30" s="17" t="n">
        <f aca="false">SUM(B6,B7,B8,B9)</f>
        <v>15396000</v>
      </c>
      <c r="C30" s="17" t="n">
        <f aca="false">SUM(C6,C7,C8,C9)</f>
        <v>14368000</v>
      </c>
      <c r="D30" s="17" t="n">
        <f aca="false">SUM(D6,D7,D8,D9)</f>
        <v>8003520</v>
      </c>
      <c r="E30" s="17" t="n">
        <f aca="false">SUM(E6,E7,E8,E9)</f>
        <v>37767520</v>
      </c>
      <c r="F30" s="18" t="n">
        <f aca="false">IF($E$37=0,0,E30/$E$37)</f>
        <v>0.169832230748045</v>
      </c>
    </row>
    <row r="31" customFormat="false" ht="15" hidden="false" customHeight="false" outlineLevel="0" collapsed="false">
      <c r="A31" s="3" t="s">
        <v>33</v>
      </c>
      <c r="B31" s="17" t="n">
        <f aca="false">SUM(B10,B11,B12,B13,B14)</f>
        <v>4070000</v>
      </c>
      <c r="C31" s="17" t="n">
        <f aca="false">SUM(C10,C11,C12,C13,C14)</f>
        <v>5248800</v>
      </c>
      <c r="D31" s="17" t="n">
        <f aca="false">SUM(D10,D11,D12,D13,D14)</f>
        <v>4607280</v>
      </c>
      <c r="E31" s="17" t="n">
        <f aca="false">SUM(E10,E11,E12,E13,E14)</f>
        <v>13926080</v>
      </c>
      <c r="F31" s="18" t="n">
        <f aca="false">IF($E$37=0,0,E31/$E$37)</f>
        <v>0.062622518819762</v>
      </c>
    </row>
    <row r="32" customFormat="false" ht="15" hidden="false" customHeight="false" outlineLevel="0" collapsed="false">
      <c r="A32" s="3" t="s">
        <v>34</v>
      </c>
      <c r="B32" s="17" t="n">
        <f aca="false">SUM(B15,B16,B17)</f>
        <v>3800000</v>
      </c>
      <c r="C32" s="17" t="n">
        <f aca="false">SUM(C15,C16,C17)</f>
        <v>6048000</v>
      </c>
      <c r="D32" s="17" t="n">
        <f aca="false">SUM(D15,D16,D17)</f>
        <v>6531840</v>
      </c>
      <c r="E32" s="17" t="n">
        <f aca="false">SUM(E15,E16,E17)</f>
        <v>16379840</v>
      </c>
      <c r="F32" s="18" t="n">
        <f aca="false">IF($E$37=0,0,E32/$E$37)</f>
        <v>0.0736565378530563</v>
      </c>
    </row>
    <row r="33" customFormat="false" ht="15" hidden="false" customHeight="false" outlineLevel="0" collapsed="false">
      <c r="A33" s="3" t="s">
        <v>35</v>
      </c>
      <c r="B33" s="17" t="n">
        <f aca="false">SUM(B18,B19,B20,B21,B22,B23,B24)</f>
        <v>3100000</v>
      </c>
      <c r="C33" s="17" t="n">
        <f aca="false">SUM(C18,C19,C20,C21,C22,C23,C24)</f>
        <v>3996000</v>
      </c>
      <c r="D33" s="17" t="n">
        <f aca="false">SUM(D18,D19,D20,D21,D22,D23,D24)</f>
        <v>4898880</v>
      </c>
      <c r="E33" s="17" t="n">
        <f aca="false">SUM(E18,E19,E20,E21,E22,E23,E24)</f>
        <v>11994880</v>
      </c>
      <c r="F33" s="18" t="n">
        <f aca="false">IF($E$37=0,0,E33/$E$37)</f>
        <v>0.0539383371731878</v>
      </c>
    </row>
    <row r="34" customFormat="false" ht="15" hidden="false" customHeight="false" outlineLevel="0" collapsed="false">
      <c r="A34" s="2" t="s">
        <v>149</v>
      </c>
      <c r="B34" s="19" t="n">
        <f aca="false">SUM(B28:B33)</f>
        <v>44103500</v>
      </c>
      <c r="C34" s="19" t="n">
        <f aca="false">SUM(C28:C33)</f>
        <v>67460800</v>
      </c>
      <c r="D34" s="19" t="n">
        <f aca="false">SUM(D28:D33)</f>
        <v>73753488</v>
      </c>
      <c r="E34" s="19" t="n">
        <f aca="false">SUM(E28:E33)</f>
        <v>185317788</v>
      </c>
      <c r="F34" s="18" t="n">
        <f aca="false">IF($E$37=0,0,E34/$E$37)</f>
        <v>0.833333333333333</v>
      </c>
    </row>
    <row r="35" customFormat="false" ht="15" hidden="false" customHeight="false" outlineLevel="0" collapsed="false">
      <c r="A35" s="3" t="s">
        <v>36</v>
      </c>
      <c r="B35" s="16" t="n">
        <f aca="false">B34*Assumptions!$D$8</f>
        <v>4410350</v>
      </c>
      <c r="C35" s="16" t="n">
        <f aca="false">C34*Assumptions!$D$8</f>
        <v>6746080</v>
      </c>
      <c r="D35" s="16" t="n">
        <f aca="false">D34*Assumptions!$D$8</f>
        <v>7375348.8</v>
      </c>
      <c r="E35" s="20" t="n">
        <f aca="false">SUM(B35:D35)</f>
        <v>18531778.8</v>
      </c>
      <c r="F35" s="18" t="n">
        <f aca="false">IF($E$37=0,0,E35/$E$37)</f>
        <v>0.0833333333333333</v>
      </c>
    </row>
    <row r="36" customFormat="false" ht="15" hidden="false" customHeight="false" outlineLevel="0" collapsed="false">
      <c r="A36" s="3" t="s">
        <v>37</v>
      </c>
      <c r="B36" s="16" t="n">
        <f aca="false">B34*Assumptions!$D$9</f>
        <v>4410350</v>
      </c>
      <c r="C36" s="16" t="n">
        <f aca="false">C34*Assumptions!$D$9</f>
        <v>6746080</v>
      </c>
      <c r="D36" s="16" t="n">
        <f aca="false">D34*Assumptions!$D$9</f>
        <v>7375348.8</v>
      </c>
      <c r="E36" s="20" t="n">
        <f aca="false">SUM(B36:D36)</f>
        <v>18531778.8</v>
      </c>
      <c r="F36" s="18" t="n">
        <f aca="false">IF($E$37=0,0,E36/$E$37)</f>
        <v>0.0833333333333333</v>
      </c>
    </row>
    <row r="37" customFormat="false" ht="15" hidden="false" customHeight="false" outlineLevel="0" collapsed="false">
      <c r="A37" s="2" t="s">
        <v>29</v>
      </c>
      <c r="B37" s="19" t="n">
        <f aca="false">B34+B35+B36</f>
        <v>52924200</v>
      </c>
      <c r="C37" s="19" t="n">
        <f aca="false">C34+C35+C36</f>
        <v>80952960</v>
      </c>
      <c r="D37" s="19" t="n">
        <f aca="false">D34+D35+D36</f>
        <v>88504185.6</v>
      </c>
      <c r="E37" s="19" t="n">
        <f aca="false">E34+E35+E36</f>
        <v>222381345.6</v>
      </c>
      <c r="F37" s="18" t="n">
        <f aca="false">IF($E$37=0,0,E37/$E$37)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4" min="2" style="0" width="16"/>
    <col collapsed="false" customWidth="true" hidden="false" outlineLevel="0" max="5" min="5" style="0" width="17"/>
    <col collapsed="false" customWidth="true" hidden="false" outlineLevel="0" max="6" min="6" style="0" width="34"/>
    <col collapsed="false" customWidth="true" hidden="false" outlineLevel="0" max="7" min="7" style="0" width="10"/>
  </cols>
  <sheetData>
    <row r="1" customFormat="false" ht="16.15" hidden="false" customHeight="false" outlineLevel="0" collapsed="false">
      <c r="A1" s="1" t="s">
        <v>152</v>
      </c>
    </row>
    <row r="2" customFormat="false" ht="15" hidden="false" customHeight="false" outlineLevel="0" collapsed="false">
      <c r="A2" s="4" t="s">
        <v>129</v>
      </c>
      <c r="B2" s="4" t="s">
        <v>26</v>
      </c>
      <c r="C2" s="4" t="s">
        <v>27</v>
      </c>
      <c r="D2" s="4" t="s">
        <v>28</v>
      </c>
      <c r="E2" s="4" t="s">
        <v>29</v>
      </c>
      <c r="F2" s="4" t="s">
        <v>130</v>
      </c>
      <c r="G2" s="4" t="s">
        <v>131</v>
      </c>
    </row>
    <row r="3" customFormat="false" ht="15" hidden="false" customHeight="false" outlineLevel="0" collapsed="false">
      <c r="A3" s="3" t="s">
        <v>132</v>
      </c>
      <c r="B3" s="16" t="n">
        <f aca="false">(Assumptions!$B$16*12*Assumptions!$B$26+Assumptions!$B$17*12*Assumptions!$B$27+Assumptions!$B$18*12*Assumptions!$B$28+Assumptions!$B$19*12*Assumptions!$B$29+Assumptions!$B$20*12*Assumptions!$B$30+Assumptions!$B$21*12*Assumptions!$B$31+Assumptions!$B$22*12*Assumptions!$B$32+Assumptions!$B$23*12*Assumptions!$B$33+Assumptions!$B$24*12*Assumptions!$B$34+Assumptions!$B$25*12*Assumptions!$B$35)*Assumptions!$E$6*(1+Assumptions!$E$4)^0*Assumptions!$E$5</f>
        <v>16389000</v>
      </c>
      <c r="C3" s="16" t="n">
        <f aca="false">(Assumptions!$B$16*12*Assumptions!$C$26+Assumptions!$B$17*12*Assumptions!$C$27+Assumptions!$B$18*12*Assumptions!$C$28+Assumptions!$B$19*12*Assumptions!$C$29+Assumptions!$B$20*12*Assumptions!$C$30+Assumptions!$B$21*12*Assumptions!$C$31+Assumptions!$B$22*12*Assumptions!$C$32+Assumptions!$B$23*12*Assumptions!$C$33+Assumptions!$B$24*12*Assumptions!$C$34+Assumptions!$B$25*12*Assumptions!$C$35)*Assumptions!$E$6*(1+Assumptions!$E$4)^1</f>
        <v>38016000</v>
      </c>
      <c r="D3" s="16" t="n">
        <f aca="false">(Assumptions!$B$16*12*Assumptions!$D$26+Assumptions!$B$17*12*Assumptions!$D$27+Assumptions!$B$18*12*Assumptions!$D$28+Assumptions!$B$19*12*Assumptions!$D$29+Assumptions!$B$20*12*Assumptions!$D$30+Assumptions!$B$21*12*Assumptions!$D$31+Assumptions!$B$22*12*Assumptions!$D$32+Assumptions!$B$23*12*Assumptions!$D$33+Assumptions!$B$24*12*Assumptions!$D$34+Assumptions!$B$25*12*Assumptions!$D$35)*Assumptions!$E$6*(1+Assumptions!$E$4)^2</f>
        <v>51487920</v>
      </c>
      <c r="E3" s="17" t="n">
        <f aca="false">SUM(B3:D3)</f>
        <v>105892920</v>
      </c>
      <c r="F3" s="3" t="s">
        <v>30</v>
      </c>
      <c r="G3" s="3" t="s">
        <v>133</v>
      </c>
    </row>
    <row r="4" customFormat="false" ht="15" hidden="false" customHeight="false" outlineLevel="0" collapsed="false">
      <c r="A4" s="3" t="s">
        <v>95</v>
      </c>
      <c r="B4" s="16" t="n">
        <f aca="false">Assumptions!$B$36*(1+Assumptions!$E$4)^0</f>
        <v>1200000</v>
      </c>
      <c r="C4" s="16" t="n">
        <f aca="false">Assumptions!$C$36*(1+Assumptions!$E$4)^1</f>
        <v>1540000</v>
      </c>
      <c r="D4" s="16" t="n">
        <f aca="false">Assumptions!$D$36*(1+Assumptions!$E$4)^2</f>
        <v>1694000</v>
      </c>
      <c r="E4" s="17" t="n">
        <f aca="false">SUM(B4:D4)</f>
        <v>4434000</v>
      </c>
      <c r="F4" s="3" t="s">
        <v>31</v>
      </c>
      <c r="G4" s="3" t="s">
        <v>133</v>
      </c>
    </row>
    <row r="5" customFormat="false" ht="15" hidden="false" customHeight="false" outlineLevel="0" collapsed="false">
      <c r="A5" s="3" t="s">
        <v>134</v>
      </c>
      <c r="B5" s="16" t="n">
        <f aca="false">Assumptions!$B$37*Assumptions!$B$38*12*(1+Assumptions!$E$4)^0</f>
        <v>2880000</v>
      </c>
      <c r="C5" s="16" t="n">
        <f aca="false">Assumptions!$C$37*Assumptions!$B$38*12*(1+Assumptions!$E$4)^1</f>
        <v>5280000</v>
      </c>
      <c r="D5" s="16" t="n">
        <f aca="false">Assumptions!$D$37*Assumptions!$B$38*12*(1+Assumptions!$E$4)^2</f>
        <v>6969600</v>
      </c>
      <c r="E5" s="17" t="n">
        <f aca="false">SUM(B5:D5)</f>
        <v>15129600</v>
      </c>
      <c r="F5" s="3" t="s">
        <v>31</v>
      </c>
      <c r="G5" s="3" t="s">
        <v>133</v>
      </c>
    </row>
    <row r="6" customFormat="false" ht="15" hidden="false" customHeight="false" outlineLevel="0" collapsed="false">
      <c r="A6" s="3" t="s">
        <v>135</v>
      </c>
      <c r="B6" s="16" t="n">
        <f aca="false">Assumptions!$B$39*Assumptions!$E$7*Assumptions!$E$3</f>
        <v>15525000</v>
      </c>
      <c r="C6" s="16" t="n">
        <f aca="false">Assumptions!$C$39*Assumptions!$E$7*Assumptions!$E$3</f>
        <v>13837500</v>
      </c>
      <c r="D6" s="16" t="n">
        <f aca="false">Assumptions!$D$39*Assumptions!$E$7*Assumptions!$E$3</f>
        <v>4050000</v>
      </c>
      <c r="E6" s="17" t="n">
        <f aca="false">SUM(B6:D6)</f>
        <v>33412500</v>
      </c>
      <c r="F6" s="3" t="s">
        <v>32</v>
      </c>
      <c r="G6" s="3" t="s">
        <v>136</v>
      </c>
    </row>
    <row r="7" customFormat="false" ht="15" hidden="false" customHeight="false" outlineLevel="0" collapsed="false">
      <c r="A7" s="3" t="s">
        <v>103</v>
      </c>
      <c r="B7" s="16" t="n">
        <f aca="false">Assumptions!$B$40*(1+Assumptions!$E$4)^0</f>
        <v>2500000</v>
      </c>
      <c r="C7" s="16" t="n">
        <f aca="false">Assumptions!$C$40*(1+Assumptions!$E$4)^1</f>
        <v>3520000</v>
      </c>
      <c r="D7" s="16" t="n">
        <f aca="false">Assumptions!$D$40*(1+Assumptions!$E$4)^2</f>
        <v>4598000</v>
      </c>
      <c r="E7" s="17" t="n">
        <f aca="false">SUM(B7:D7)</f>
        <v>10618000</v>
      </c>
      <c r="F7" s="3" t="s">
        <v>32</v>
      </c>
      <c r="G7" s="3" t="s">
        <v>133</v>
      </c>
    </row>
    <row r="8" customFormat="false" ht="15" hidden="false" customHeight="false" outlineLevel="0" collapsed="false">
      <c r="A8" s="3" t="s">
        <v>137</v>
      </c>
      <c r="B8" s="16" t="n">
        <f aca="false">0</f>
        <v>0</v>
      </c>
      <c r="C8" s="16" t="n">
        <f aca="false">Assumptions!$E$10*Assumptions!$E$3</f>
        <v>2700000</v>
      </c>
      <c r="D8" s="16" t="n">
        <f aca="false">0</f>
        <v>0</v>
      </c>
      <c r="E8" s="17" t="n">
        <f aca="false">SUM(B8:D8)</f>
        <v>2700000</v>
      </c>
      <c r="F8" s="3" t="s">
        <v>32</v>
      </c>
      <c r="G8" s="3" t="s">
        <v>136</v>
      </c>
    </row>
    <row r="9" customFormat="false" ht="15" hidden="false" customHeight="false" outlineLevel="0" collapsed="false">
      <c r="A9" s="3" t="s">
        <v>138</v>
      </c>
      <c r="B9" s="16" t="n">
        <f aca="false">Assumptions!$E$11*Assumptions!$B$60*Assumptions!$B$61*Assumptions!$E$3</f>
        <v>0</v>
      </c>
      <c r="C9" s="16" t="n">
        <f aca="false">Assumptions!$E$11*Assumptions!$C$60*Assumptions!$B$61*Assumptions!$E$3</f>
        <v>0</v>
      </c>
      <c r="D9" s="16" t="n">
        <f aca="false">Assumptions!$E$11*Assumptions!$D$60*Assumptions!$B$61*Assumptions!$E$3</f>
        <v>0</v>
      </c>
      <c r="E9" s="17" t="n">
        <f aca="false">SUM(B9:D9)</f>
        <v>0</v>
      </c>
      <c r="F9" s="3" t="s">
        <v>32</v>
      </c>
      <c r="G9" s="3" t="s">
        <v>136</v>
      </c>
    </row>
    <row r="10" customFormat="false" ht="15" hidden="false" customHeight="false" outlineLevel="0" collapsed="false">
      <c r="A10" s="3" t="s">
        <v>139</v>
      </c>
      <c r="B10" s="16" t="n">
        <f aca="false">Assumptions!$B$41*Assumptions!$B$42*(1+Assumptions!$E$4)^0</f>
        <v>1250000</v>
      </c>
      <c r="C10" s="16" t="n">
        <f aca="false">Assumptions!$C$41*Assumptions!$B$42*(1+Assumptions!$E$4)^1</f>
        <v>2200000</v>
      </c>
      <c r="D10" s="16" t="n">
        <f aca="false">Assumptions!$D$41*Assumptions!$B$42*(1+Assumptions!$E$4)^2</f>
        <v>2117500</v>
      </c>
      <c r="E10" s="17" t="n">
        <f aca="false">SUM(B10:D10)</f>
        <v>5567500</v>
      </c>
      <c r="F10" s="3" t="s">
        <v>33</v>
      </c>
      <c r="G10" s="3" t="s">
        <v>136</v>
      </c>
    </row>
    <row r="11" customFormat="false" ht="15" hidden="false" customHeight="false" outlineLevel="0" collapsed="false">
      <c r="A11" s="3" t="s">
        <v>108</v>
      </c>
      <c r="B11" s="16" t="n">
        <f aca="false">Assumptions!$B$43*Assumptions!$B$44*(1+Assumptions!$E$4)^0</f>
        <v>120000</v>
      </c>
      <c r="C11" s="16" t="n">
        <f aca="false">Assumptions!$C$43*Assumptions!$B$44*(1+Assumptions!$E$4)^1</f>
        <v>66000</v>
      </c>
      <c r="D11" s="16" t="n">
        <f aca="false">Assumptions!$D$43*Assumptions!$B$44*(1+Assumptions!$E$4)^2</f>
        <v>0</v>
      </c>
      <c r="E11" s="17" t="n">
        <f aca="false">SUM(B11:D11)</f>
        <v>186000</v>
      </c>
      <c r="F11" s="3" t="s">
        <v>33</v>
      </c>
      <c r="G11" s="3" t="s">
        <v>136</v>
      </c>
    </row>
    <row r="12" customFormat="false" ht="15" hidden="false" customHeight="false" outlineLevel="0" collapsed="false">
      <c r="A12" s="3" t="s">
        <v>110</v>
      </c>
      <c r="B12" s="16" t="n">
        <f aca="false">Assumptions!$B$45*Assumptions!$B$46*(1+Assumptions!$E$4)^0</f>
        <v>200000</v>
      </c>
      <c r="C12" s="16" t="n">
        <f aca="false">Assumptions!$C$45*Assumptions!$B$46*(1+Assumptions!$E$4)^1</f>
        <v>440000</v>
      </c>
      <c r="D12" s="16" t="n">
        <f aca="false">Assumptions!$D$45*Assumptions!$B$46*(1+Assumptions!$E$4)^2</f>
        <v>484000</v>
      </c>
      <c r="E12" s="17" t="n">
        <f aca="false">SUM(B12:D12)</f>
        <v>1124000</v>
      </c>
      <c r="F12" s="3" t="s">
        <v>33</v>
      </c>
      <c r="G12" s="3" t="s">
        <v>133</v>
      </c>
    </row>
    <row r="13" customFormat="false" ht="15" hidden="false" customHeight="false" outlineLevel="0" collapsed="false">
      <c r="A13" s="3" t="s">
        <v>113</v>
      </c>
      <c r="B13" s="16" t="n">
        <f aca="false">Assumptions!$B$47*(1+Assumptions!$E$4)^0</f>
        <v>2000000</v>
      </c>
      <c r="C13" s="16" t="n">
        <f aca="false">Assumptions!$C$47*(1+Assumptions!$E$4)^1</f>
        <v>2200000</v>
      </c>
      <c r="D13" s="16" t="n">
        <f aca="false">Assumptions!$D$47*(1+Assumptions!$E$4)^2</f>
        <v>1815000</v>
      </c>
      <c r="E13" s="17" t="n">
        <f aca="false">SUM(B13:D13)</f>
        <v>6015000</v>
      </c>
      <c r="F13" s="3" t="s">
        <v>33</v>
      </c>
      <c r="G13" s="3" t="s">
        <v>133</v>
      </c>
    </row>
    <row r="14" customFormat="false" ht="15" hidden="false" customHeight="false" outlineLevel="0" collapsed="false">
      <c r="A14" s="3" t="s">
        <v>114</v>
      </c>
      <c r="B14" s="16" t="n">
        <f aca="false">Assumptions!$B$48*(1+Assumptions!$E$4)^0</f>
        <v>500000</v>
      </c>
      <c r="C14" s="16" t="n">
        <f aca="false">Assumptions!$C$48*(1+Assumptions!$E$4)^1</f>
        <v>440000</v>
      </c>
      <c r="D14" s="16" t="n">
        <f aca="false">Assumptions!$D$48*(1+Assumptions!$E$4)^2</f>
        <v>363000</v>
      </c>
      <c r="E14" s="17" t="n">
        <f aca="false">SUM(B14:D14)</f>
        <v>1303000</v>
      </c>
      <c r="F14" s="3" t="s">
        <v>33</v>
      </c>
      <c r="G14" s="3" t="s">
        <v>133</v>
      </c>
    </row>
    <row r="15" customFormat="false" ht="15" hidden="false" customHeight="false" outlineLevel="0" collapsed="false">
      <c r="A15" s="3" t="s">
        <v>140</v>
      </c>
      <c r="B15" s="16" t="n">
        <f aca="false">Assumptions!$B$49*Assumptions!$B$50*(1+Assumptions!$E$4)^0</f>
        <v>1500000</v>
      </c>
      <c r="C15" s="16" t="n">
        <f aca="false">Assumptions!$C$49*Assumptions!$B$50*(1+Assumptions!$E$4)^1</f>
        <v>3300000</v>
      </c>
      <c r="D15" s="16" t="n">
        <f aca="false">Assumptions!$D$49*Assumptions!$B$50*(1+Assumptions!$E$4)^2</f>
        <v>3630000</v>
      </c>
      <c r="E15" s="17" t="n">
        <f aca="false">SUM(B15:D15)</f>
        <v>8430000</v>
      </c>
      <c r="F15" s="3" t="s">
        <v>34</v>
      </c>
      <c r="G15" s="3" t="s">
        <v>133</v>
      </c>
    </row>
    <row r="16" customFormat="false" ht="15" hidden="false" customHeight="false" outlineLevel="0" collapsed="false">
      <c r="A16" s="3" t="s">
        <v>117</v>
      </c>
      <c r="B16" s="16" t="n">
        <f aca="false">Assumptions!$B$51*(1+Assumptions!$E$4)^0</f>
        <v>800000</v>
      </c>
      <c r="C16" s="16" t="n">
        <f aca="false">Assumptions!$C$51*(1+Assumptions!$E$4)^1</f>
        <v>1210000</v>
      </c>
      <c r="D16" s="16" t="n">
        <f aca="false">Assumptions!$D$51*(1+Assumptions!$E$4)^2</f>
        <v>1331000</v>
      </c>
      <c r="E16" s="17" t="n">
        <f aca="false">SUM(B16:D16)</f>
        <v>3341000</v>
      </c>
      <c r="F16" s="3" t="s">
        <v>34</v>
      </c>
      <c r="G16" s="3" t="s">
        <v>133</v>
      </c>
    </row>
    <row r="17" customFormat="false" ht="15" hidden="false" customHeight="false" outlineLevel="0" collapsed="false">
      <c r="A17" s="3" t="s">
        <v>141</v>
      </c>
      <c r="B17" s="16" t="n">
        <f aca="false">Assumptions!$E$11*Assumptions!$B$59*(1+Assumptions!$E$4)^0</f>
        <v>0</v>
      </c>
      <c r="C17" s="16" t="n">
        <f aca="false">Assumptions!$E$11*Assumptions!$B$59*(1+Assumptions!$E$4)^1</f>
        <v>0</v>
      </c>
      <c r="D17" s="16" t="n">
        <f aca="false">Assumptions!$E$11*Assumptions!$B$59*(1+Assumptions!$E$4)^2</f>
        <v>0</v>
      </c>
      <c r="E17" s="17" t="n">
        <f aca="false">SUM(B17:D17)</f>
        <v>0</v>
      </c>
      <c r="F17" s="3" t="s">
        <v>34</v>
      </c>
      <c r="G17" s="3" t="s">
        <v>133</v>
      </c>
    </row>
    <row r="18" customFormat="false" ht="15" hidden="false" customHeight="false" outlineLevel="0" collapsed="false">
      <c r="A18" s="3" t="s">
        <v>118</v>
      </c>
      <c r="B18" s="16" t="n">
        <f aca="false">Assumptions!$B$52*(1+Assumptions!$E$4)^0</f>
        <v>300000</v>
      </c>
      <c r="C18" s="16" t="n">
        <f aca="false">Assumptions!$C$52*(1+Assumptions!$E$4)^1</f>
        <v>330000</v>
      </c>
      <c r="D18" s="16" t="n">
        <f aca="false">Assumptions!$D$52*(1+Assumptions!$E$4)^2</f>
        <v>363000</v>
      </c>
      <c r="E18" s="17" t="n">
        <f aca="false">SUM(B18:D18)</f>
        <v>993000</v>
      </c>
      <c r="F18" s="3" t="s">
        <v>35</v>
      </c>
      <c r="G18" s="3" t="s">
        <v>133</v>
      </c>
    </row>
    <row r="19" customFormat="false" ht="15" hidden="false" customHeight="false" outlineLevel="0" collapsed="false">
      <c r="A19" s="3" t="s">
        <v>142</v>
      </c>
      <c r="B19" s="16" t="n">
        <f aca="false">Assumptions!$B$53*(1+Assumptions!$E$4)^0</f>
        <v>600000</v>
      </c>
      <c r="C19" s="16" t="n">
        <f aca="false">Assumptions!$C$53*(1+Assumptions!$E$4)^1</f>
        <v>0</v>
      </c>
      <c r="D19" s="16" t="n">
        <f aca="false">Assumptions!$D$53*(1+Assumptions!$E$4)^2</f>
        <v>0</v>
      </c>
      <c r="E19" s="17" t="n">
        <f aca="false">SUM(B19:D19)</f>
        <v>600000</v>
      </c>
      <c r="F19" s="3" t="s">
        <v>35</v>
      </c>
      <c r="G19" s="3" t="s">
        <v>136</v>
      </c>
    </row>
    <row r="20" customFormat="false" ht="15" hidden="false" customHeight="false" outlineLevel="0" collapsed="false">
      <c r="A20" s="3" t="s">
        <v>120</v>
      </c>
      <c r="B20" s="16" t="n">
        <f aca="false">Assumptions!$B$54*(1+Assumptions!$E$4)^0</f>
        <v>800000</v>
      </c>
      <c r="C20" s="16" t="n">
        <f aca="false">Assumptions!$C$54*(1+Assumptions!$E$4)^1</f>
        <v>880000</v>
      </c>
      <c r="D20" s="16" t="n">
        <f aca="false">Assumptions!$D$54*(1+Assumptions!$E$4)^2</f>
        <v>968000</v>
      </c>
      <c r="E20" s="17" t="n">
        <f aca="false">SUM(B20:D20)</f>
        <v>2648000</v>
      </c>
      <c r="F20" s="3" t="s">
        <v>35</v>
      </c>
      <c r="G20" s="3" t="s">
        <v>133</v>
      </c>
    </row>
    <row r="21" customFormat="false" ht="15" hidden="false" customHeight="false" outlineLevel="0" collapsed="false">
      <c r="A21" s="3" t="s">
        <v>143</v>
      </c>
      <c r="B21" s="16" t="n">
        <f aca="false">Assumptions!$B$55*(1+Assumptions!$E$4)^0</f>
        <v>0</v>
      </c>
      <c r="C21" s="16" t="n">
        <f aca="false">Assumptions!$C$55*(1+Assumptions!$E$4)^1</f>
        <v>0</v>
      </c>
      <c r="D21" s="16" t="n">
        <f aca="false">Assumptions!$D$55*(1+Assumptions!$E$4)^2</f>
        <v>3025000</v>
      </c>
      <c r="E21" s="17" t="n">
        <f aca="false">SUM(B21:D21)</f>
        <v>3025000</v>
      </c>
      <c r="F21" s="3" t="s">
        <v>35</v>
      </c>
      <c r="G21" s="3" t="s">
        <v>136</v>
      </c>
    </row>
    <row r="22" customFormat="false" ht="15" hidden="false" customHeight="false" outlineLevel="0" collapsed="false">
      <c r="A22" s="3" t="s">
        <v>144</v>
      </c>
      <c r="B22" s="16" t="n">
        <f aca="false">Assumptions!$B$56*(1+Assumptions!$E$4)^0</f>
        <v>0</v>
      </c>
      <c r="C22" s="16" t="n">
        <f aca="false">Assumptions!$C$56*(1+Assumptions!$E$4)^1</f>
        <v>2200000</v>
      </c>
      <c r="D22" s="16" t="n">
        <f aca="false">Assumptions!$D$56*(1+Assumptions!$E$4)^2</f>
        <v>0</v>
      </c>
      <c r="E22" s="17" t="n">
        <f aca="false">SUM(B22:D22)</f>
        <v>2200000</v>
      </c>
      <c r="F22" s="3" t="s">
        <v>35</v>
      </c>
      <c r="G22" s="3" t="s">
        <v>136</v>
      </c>
    </row>
    <row r="23" customFormat="false" ht="15" hidden="false" customHeight="false" outlineLevel="0" collapsed="false">
      <c r="A23" s="3" t="s">
        <v>145</v>
      </c>
      <c r="B23" s="16" t="n">
        <f aca="false">Assumptions!$B$57*(1+Assumptions!$E$4)^0</f>
        <v>800000</v>
      </c>
      <c r="C23" s="16" t="n">
        <f aca="false">Assumptions!$C$57*(1+Assumptions!$E$4)^1</f>
        <v>0</v>
      </c>
      <c r="D23" s="16" t="n">
        <f aca="false">Assumptions!$D$57*(1+Assumptions!$E$4)^2</f>
        <v>0</v>
      </c>
      <c r="E23" s="17" t="n">
        <f aca="false">SUM(B23:D23)</f>
        <v>800000</v>
      </c>
      <c r="F23" s="3" t="s">
        <v>35</v>
      </c>
      <c r="G23" s="3" t="s">
        <v>136</v>
      </c>
    </row>
    <row r="24" customFormat="false" ht="15" hidden="false" customHeight="false" outlineLevel="0" collapsed="false">
      <c r="A24" s="3" t="s">
        <v>124</v>
      </c>
      <c r="B24" s="16" t="n">
        <f aca="false">Assumptions!$B$58*(1+Assumptions!$E$4)^0</f>
        <v>600000</v>
      </c>
      <c r="C24" s="16" t="n">
        <f aca="false">Assumptions!$C$58*(1+Assumptions!$E$4)^1</f>
        <v>660000</v>
      </c>
      <c r="D24" s="16" t="n">
        <f aca="false">Assumptions!$D$58*(1+Assumptions!$E$4)^2</f>
        <v>726000</v>
      </c>
      <c r="E24" s="17" t="n">
        <f aca="false">SUM(B24:D24)</f>
        <v>1986000</v>
      </c>
      <c r="F24" s="3" t="s">
        <v>35</v>
      </c>
      <c r="G24" s="3" t="s">
        <v>133</v>
      </c>
    </row>
    <row r="26" customFormat="false" ht="15" hidden="false" customHeight="false" outlineLevel="0" collapsed="false">
      <c r="A26" s="2" t="s">
        <v>146</v>
      </c>
    </row>
    <row r="27" customFormat="false" ht="15" hidden="false" customHeight="false" outlineLevel="0" collapsed="false">
      <c r="A27" s="4" t="s">
        <v>147</v>
      </c>
      <c r="B27" s="4" t="s">
        <v>26</v>
      </c>
      <c r="C27" s="4" t="s">
        <v>27</v>
      </c>
      <c r="D27" s="4" t="s">
        <v>28</v>
      </c>
      <c r="E27" s="4" t="s">
        <v>29</v>
      </c>
      <c r="F27" s="4" t="s">
        <v>148</v>
      </c>
    </row>
    <row r="28" customFormat="false" ht="15" hidden="false" customHeight="false" outlineLevel="0" collapsed="false">
      <c r="A28" s="3" t="s">
        <v>30</v>
      </c>
      <c r="B28" s="17" t="n">
        <f aca="false">SUM(B3)</f>
        <v>16389000</v>
      </c>
      <c r="C28" s="17" t="n">
        <f aca="false">SUM(C3)</f>
        <v>38016000</v>
      </c>
      <c r="D28" s="17" t="n">
        <f aca="false">SUM(D3)</f>
        <v>51487920</v>
      </c>
      <c r="E28" s="17" t="n">
        <f aca="false">SUM(E3)</f>
        <v>105892920</v>
      </c>
      <c r="F28" s="18" t="n">
        <f aca="false">IF($E$37=0,0,E28/$E$37)</f>
        <v>0.419400118399936</v>
      </c>
    </row>
    <row r="29" customFormat="false" ht="15" hidden="false" customHeight="false" outlineLevel="0" collapsed="false">
      <c r="A29" s="3" t="s">
        <v>31</v>
      </c>
      <c r="B29" s="17" t="n">
        <f aca="false">SUM(B4,B5)</f>
        <v>4080000</v>
      </c>
      <c r="C29" s="17" t="n">
        <f aca="false">SUM(C4,C5)</f>
        <v>6820000</v>
      </c>
      <c r="D29" s="17" t="n">
        <f aca="false">SUM(D4,D5)</f>
        <v>8663600</v>
      </c>
      <c r="E29" s="17" t="n">
        <f aca="false">SUM(E4,E5)</f>
        <v>19563600</v>
      </c>
      <c r="F29" s="18" t="n">
        <f aca="false">IF($E$37=0,0,E29/$E$37)</f>
        <v>0.0774837086023218</v>
      </c>
    </row>
    <row r="30" customFormat="false" ht="15" hidden="false" customHeight="false" outlineLevel="0" collapsed="false">
      <c r="A30" s="3" t="s">
        <v>32</v>
      </c>
      <c r="B30" s="17" t="n">
        <f aca="false">SUM(B6,B7,B8,B9)</f>
        <v>18025000</v>
      </c>
      <c r="C30" s="17" t="n">
        <f aca="false">SUM(C6,C7,C8,C9)</f>
        <v>20057500</v>
      </c>
      <c r="D30" s="17" t="n">
        <f aca="false">SUM(D6,D7,D8,D9)</f>
        <v>8648000</v>
      </c>
      <c r="E30" s="17" t="n">
        <f aca="false">SUM(E6,E7,E8,E9)</f>
        <v>46730500</v>
      </c>
      <c r="F30" s="18" t="n">
        <f aca="false">IF($E$37=0,0,E30/$E$37)</f>
        <v>0.185081091662107</v>
      </c>
    </row>
    <row r="31" customFormat="false" ht="15" hidden="false" customHeight="false" outlineLevel="0" collapsed="false">
      <c r="A31" s="3" t="s">
        <v>33</v>
      </c>
      <c r="B31" s="17" t="n">
        <f aca="false">SUM(B10,B11,B12,B13,B14)</f>
        <v>4070000</v>
      </c>
      <c r="C31" s="17" t="n">
        <f aca="false">SUM(C10,C11,C12,C13,C14)</f>
        <v>5346000</v>
      </c>
      <c r="D31" s="17" t="n">
        <f aca="false">SUM(D10,D11,D12,D13,D14)</f>
        <v>4779500</v>
      </c>
      <c r="E31" s="17" t="n">
        <f aca="false">SUM(E10,E11,E12,E13,E14)</f>
        <v>14195500</v>
      </c>
      <c r="F31" s="18" t="n">
        <f aca="false">IF($E$37=0,0,E31/$E$37)</f>
        <v>0.056222780340237</v>
      </c>
    </row>
    <row r="32" customFormat="false" ht="15" hidden="false" customHeight="false" outlineLevel="0" collapsed="false">
      <c r="A32" s="3" t="s">
        <v>34</v>
      </c>
      <c r="B32" s="17" t="n">
        <f aca="false">SUM(B15,B16,B17)</f>
        <v>2300000</v>
      </c>
      <c r="C32" s="17" t="n">
        <f aca="false">SUM(C15,C16,C17)</f>
        <v>4510000</v>
      </c>
      <c r="D32" s="17" t="n">
        <f aca="false">SUM(D15,D16,D17)</f>
        <v>4961000</v>
      </c>
      <c r="E32" s="17" t="n">
        <f aca="false">SUM(E15,E16,E17)</f>
        <v>11771000</v>
      </c>
      <c r="F32" s="18" t="n">
        <f aca="false">IF($E$37=0,0,E32/$E$37)</f>
        <v>0.0466202914574992</v>
      </c>
    </row>
    <row r="33" customFormat="false" ht="15" hidden="false" customHeight="false" outlineLevel="0" collapsed="false">
      <c r="A33" s="3" t="s">
        <v>35</v>
      </c>
      <c r="B33" s="17" t="n">
        <f aca="false">SUM(B18,B19,B20,B21,B22,B23,B24)</f>
        <v>3100000</v>
      </c>
      <c r="C33" s="17" t="n">
        <f aca="false">SUM(C18,C19,C20,C21,C22,C23,C24)</f>
        <v>4070000</v>
      </c>
      <c r="D33" s="17" t="n">
        <f aca="false">SUM(D18,D19,D20,D21,D22,D23,D24)</f>
        <v>5082000</v>
      </c>
      <c r="E33" s="17" t="n">
        <f aca="false">SUM(E18,E19,E20,E21,E22,E23,E24)</f>
        <v>12252000</v>
      </c>
      <c r="F33" s="18" t="n">
        <f aca="false">IF($E$37=0,0,E33/$E$37)</f>
        <v>0.0485253428712327</v>
      </c>
    </row>
    <row r="34" customFormat="false" ht="15" hidden="false" customHeight="false" outlineLevel="0" collapsed="false">
      <c r="A34" s="2" t="s">
        <v>149</v>
      </c>
      <c r="B34" s="19" t="n">
        <f aca="false">SUM(B28:B33)</f>
        <v>47964000</v>
      </c>
      <c r="C34" s="19" t="n">
        <f aca="false">SUM(C28:C33)</f>
        <v>78819500</v>
      </c>
      <c r="D34" s="19" t="n">
        <f aca="false">SUM(D28:D33)</f>
        <v>83622020</v>
      </c>
      <c r="E34" s="19" t="n">
        <f aca="false">SUM(E28:E33)</f>
        <v>210405520</v>
      </c>
      <c r="F34" s="18" t="n">
        <f aca="false">IF($E$37=0,0,E34/$E$37)</f>
        <v>0.833333333333333</v>
      </c>
    </row>
    <row r="35" customFormat="false" ht="15" hidden="false" customHeight="false" outlineLevel="0" collapsed="false">
      <c r="A35" s="3" t="s">
        <v>36</v>
      </c>
      <c r="B35" s="16" t="n">
        <f aca="false">B34*Assumptions!$E$8</f>
        <v>4796400</v>
      </c>
      <c r="C35" s="16" t="n">
        <f aca="false">C34*Assumptions!$E$8</f>
        <v>7881950</v>
      </c>
      <c r="D35" s="16" t="n">
        <f aca="false">D34*Assumptions!$E$8</f>
        <v>8362202</v>
      </c>
      <c r="E35" s="20" t="n">
        <f aca="false">SUM(B35:D35)</f>
        <v>21040552</v>
      </c>
      <c r="F35" s="18" t="n">
        <f aca="false">IF($E$37=0,0,E35/$E$37)</f>
        <v>0.0833333333333333</v>
      </c>
    </row>
    <row r="36" customFormat="false" ht="15" hidden="false" customHeight="false" outlineLevel="0" collapsed="false">
      <c r="A36" s="3" t="s">
        <v>37</v>
      </c>
      <c r="B36" s="16" t="n">
        <f aca="false">B34*Assumptions!$E$9</f>
        <v>4796400</v>
      </c>
      <c r="C36" s="16" t="n">
        <f aca="false">C34*Assumptions!$E$9</f>
        <v>7881950</v>
      </c>
      <c r="D36" s="16" t="n">
        <f aca="false">D34*Assumptions!$E$9</f>
        <v>8362202</v>
      </c>
      <c r="E36" s="20" t="n">
        <f aca="false">SUM(B36:D36)</f>
        <v>21040552</v>
      </c>
      <c r="F36" s="18" t="n">
        <f aca="false">IF($E$37=0,0,E36/$E$37)</f>
        <v>0.0833333333333333</v>
      </c>
    </row>
    <row r="37" customFormat="false" ht="15" hidden="false" customHeight="false" outlineLevel="0" collapsed="false">
      <c r="A37" s="2" t="s">
        <v>29</v>
      </c>
      <c r="B37" s="19" t="n">
        <f aca="false">B34+B35+B36</f>
        <v>57556800</v>
      </c>
      <c r="C37" s="19" t="n">
        <f aca="false">C34+C35+C36</f>
        <v>94583400</v>
      </c>
      <c r="D37" s="19" t="n">
        <f aca="false">D34+D35+D36</f>
        <v>100346424</v>
      </c>
      <c r="E37" s="19" t="n">
        <f aca="false">E34+E35+E36</f>
        <v>252486624</v>
      </c>
      <c r="F37" s="18" t="n">
        <f aca="false">IF($E$37=0,0,E37/$E$37)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2026-10-21T22:20:12Z</dcterms:created>
  <dc:creator>openpyxl</dc:creator>
  <dc:description/>
  <dc:language>en-US</dc:language>
  <cp:lastModifiedBy/>
  <dcterms:modified xsi:type="dcterms:W3CDTF">2026-10-21T22:20:12Z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